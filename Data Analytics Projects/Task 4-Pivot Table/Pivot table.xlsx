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0" windowHeight="7620" tabRatio="500"/>
  </bookViews>
  <sheets>
    <sheet name="Raw Data" sheetId="2" r:id="rId1"/>
    <sheet name="Cleaned Data" sheetId="3" r:id="rId2"/>
    <sheet name="Pivot - Region" sheetId="4" r:id="rId3"/>
    <sheet name="Pivot - Product" sheetId="5" r:id="rId4"/>
    <sheet name="Pivot - Month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<sst xmlns="http://schemas.openxmlformats.org/spreadsheetml/2006/main" count="4013" uniqueCount="549">
  <si>
    <t>OrderID</t>
  </si>
  <si>
    <t>OrderDate</t>
  </si>
  <si>
    <t>Region</t>
  </si>
  <si>
    <t>Product</t>
  </si>
  <si>
    <t>Customer</t>
  </si>
  <si>
    <t>SalesRep</t>
  </si>
  <si>
    <t>Quantity</t>
  </si>
  <si>
    <t>UnitPrice</t>
  </si>
  <si>
    <t>04/20/2025</t>
  </si>
  <si>
    <t>WEST</t>
  </si>
  <si>
    <t xml:space="preserve"> webcam hd</t>
  </si>
  <si>
    <t>Customer 14</t>
  </si>
  <si>
    <t>Karthik</t>
  </si>
  <si>
    <t>3</t>
  </si>
  <si>
    <t>03/31/2025</t>
  </si>
  <si>
    <t>East</t>
  </si>
  <si>
    <t>Mechanical Keyboard</t>
  </si>
  <si>
    <t>Customer 46</t>
  </si>
  <si>
    <t>Priya</t>
  </si>
  <si>
    <t>-1</t>
  </si>
  <si>
    <t>2025-05-22</t>
  </si>
  <si>
    <t>north</t>
  </si>
  <si>
    <t>Laptop Stand</t>
  </si>
  <si>
    <t>Customer 42</t>
  </si>
  <si>
    <t>Meena</t>
  </si>
  <si>
    <t>5</t>
  </si>
  <si>
    <t>17/06/2025</t>
  </si>
  <si>
    <t xml:space="preserve">east </t>
  </si>
  <si>
    <t>usb-c cable</t>
  </si>
  <si>
    <t>Customer 9</t>
  </si>
  <si>
    <t>Suresh</t>
  </si>
  <si>
    <t>2</t>
  </si>
  <si>
    <t>01/21/2025</t>
  </si>
  <si>
    <t xml:space="preserve">South </t>
  </si>
  <si>
    <t>USB-C Cable</t>
  </si>
  <si>
    <t>Customer 6</t>
  </si>
  <si>
    <t>4</t>
  </si>
  <si>
    <t>13/02/2025</t>
  </si>
  <si>
    <t>South</t>
  </si>
  <si>
    <t>Customer 50</t>
  </si>
  <si>
    <t>25/01/2025</t>
  </si>
  <si>
    <t>west</t>
  </si>
  <si>
    <t>0</t>
  </si>
  <si>
    <t>13-02-2025</t>
  </si>
  <si>
    <t>Customer 53</t>
  </si>
  <si>
    <t>Divya</t>
  </si>
  <si>
    <t>08/05/2025</t>
  </si>
  <si>
    <t>Desk Lamp</t>
  </si>
  <si>
    <t>Customer 20</t>
  </si>
  <si>
    <t>2025-07-23</t>
  </si>
  <si>
    <t>Bluetooth Speaker</t>
  </si>
  <si>
    <t>Customer 1</t>
  </si>
  <si>
    <t>2025-09-21</t>
  </si>
  <si>
    <t>Customer 43</t>
  </si>
  <si>
    <t>Arun</t>
  </si>
  <si>
    <t>five</t>
  </si>
  <si>
    <t>2025-06-24</t>
  </si>
  <si>
    <t xml:space="preserve"> north</t>
  </si>
  <si>
    <t>Customer 47</t>
  </si>
  <si>
    <t>04-06-2025</t>
  </si>
  <si>
    <t xml:space="preserve">Laptop stand </t>
  </si>
  <si>
    <t>Customer 35</t>
  </si>
  <si>
    <t>06/13/2025</t>
  </si>
  <si>
    <t>Customer 27</t>
  </si>
  <si>
    <t>13/09/2025</t>
  </si>
  <si>
    <t>Webcam HD</t>
  </si>
  <si>
    <t>Customer 55</t>
  </si>
  <si>
    <t>04/02/2025</t>
  </si>
  <si>
    <t>01/14/2025</t>
  </si>
  <si>
    <t>Customer 51</t>
  </si>
  <si>
    <t>2025-01-26</t>
  </si>
  <si>
    <t>01/27/2025</t>
  </si>
  <si>
    <t>Customer 3</t>
  </si>
  <si>
    <t>23-03-2025</t>
  </si>
  <si>
    <t>Customer 33</t>
  </si>
  <si>
    <t>12-03-2025</t>
  </si>
  <si>
    <t>1</t>
  </si>
  <si>
    <t>05/13/2025</t>
  </si>
  <si>
    <t>Customer 48</t>
  </si>
  <si>
    <t>16/05/2025</t>
  </si>
  <si>
    <t>Customer 18</t>
  </si>
  <si>
    <t>21-09-2025</t>
  </si>
  <si>
    <t>Customer 4</t>
  </si>
  <si>
    <t>22-02-2025</t>
  </si>
  <si>
    <t>Customer 57</t>
  </si>
  <si>
    <t>08-02-2025</t>
  </si>
  <si>
    <t>Customer 15</t>
  </si>
  <si>
    <t>2025-03-22</t>
  </si>
  <si>
    <t>Customer 21</t>
  </si>
  <si>
    <t>2025-02-28</t>
  </si>
  <si>
    <t xml:space="preserve">wireless mouse </t>
  </si>
  <si>
    <t>Customer 19</t>
  </si>
  <si>
    <t>2025-01-15</t>
  </si>
  <si>
    <t>Customer 13</t>
  </si>
  <si>
    <t>26-01-2025</t>
  </si>
  <si>
    <t>bluetooth  speaker</t>
  </si>
  <si>
    <t>2025-07-13</t>
  </si>
  <si>
    <t>Customer 12</t>
  </si>
  <si>
    <t>07-02-2025</t>
  </si>
  <si>
    <t>Wireless Mouse</t>
  </si>
  <si>
    <t>Customer 17</t>
  </si>
  <si>
    <t>11/02/2025</t>
  </si>
  <si>
    <t>Customer 59</t>
  </si>
  <si>
    <t>2025-03-18</t>
  </si>
  <si>
    <t>Customer 8</t>
  </si>
  <si>
    <t>07-03-2025</t>
  </si>
  <si>
    <t>Customer 24</t>
  </si>
  <si>
    <t>27/09/2025</t>
  </si>
  <si>
    <t>Customer 30</t>
  </si>
  <si>
    <t>29/01/2025</t>
  </si>
  <si>
    <t>2025-01-14</t>
  </si>
  <si>
    <t>2025-09-17</t>
  </si>
  <si>
    <t>19/04/2025</t>
  </si>
  <si>
    <t>Customer 49</t>
  </si>
  <si>
    <t>2025-05-05</t>
  </si>
  <si>
    <t>Customer 36</t>
  </si>
  <si>
    <t>23-02-2025</t>
  </si>
  <si>
    <t>2025-01-12</t>
  </si>
  <si>
    <t>Customer 52</t>
  </si>
  <si>
    <t>22/05/2025</t>
  </si>
  <si>
    <t>Customer 40</t>
  </si>
  <si>
    <t>14/06/2025</t>
  </si>
  <si>
    <t>30-01-2025</t>
  </si>
  <si>
    <t>28-03-2025</t>
  </si>
  <si>
    <t>2025-04-08</t>
  </si>
  <si>
    <t>Customer 28</t>
  </si>
  <si>
    <t>22/04/2025</t>
  </si>
  <si>
    <t>2025-05-03</t>
  </si>
  <si>
    <t>2025-04-15</t>
  </si>
  <si>
    <t>Customer 58</t>
  </si>
  <si>
    <t>08/03/2025</t>
  </si>
  <si>
    <t>18-05-2025</t>
  </si>
  <si>
    <t>06/12/2025</t>
  </si>
  <si>
    <t>01/31/2025</t>
  </si>
  <si>
    <t>2025-01-21</t>
  </si>
  <si>
    <t>15-06-2025</t>
  </si>
  <si>
    <t>Customer 38</t>
  </si>
  <si>
    <t>06/01/2025</t>
  </si>
  <si>
    <t>24-04-2025</t>
  </si>
  <si>
    <t>2025-04-28</t>
  </si>
  <si>
    <t>28/07/2025</t>
  </si>
  <si>
    <t>Customer 31</t>
  </si>
  <si>
    <t>2025-02-25</t>
  </si>
  <si>
    <t>2025-01-23</t>
  </si>
  <si>
    <t>Customer 2</t>
  </si>
  <si>
    <t>2025-06-29</t>
  </si>
  <si>
    <t>2025-01-05</t>
  </si>
  <si>
    <t>Customer 7</t>
  </si>
  <si>
    <t>07/12/2025</t>
  </si>
  <si>
    <t>27/05/2025</t>
  </si>
  <si>
    <t>23/08/2025</t>
  </si>
  <si>
    <t>2025-06-22</t>
  </si>
  <si>
    <t>2025-04-06</t>
  </si>
  <si>
    <t>22/03/2025</t>
  </si>
  <si>
    <t>26/08/2025</t>
  </si>
  <si>
    <t>Customer 5</t>
  </si>
  <si>
    <t>09-09-2025</t>
  </si>
  <si>
    <t>17/04/2025</t>
  </si>
  <si>
    <t>Customer 23</t>
  </si>
  <si>
    <t>2025-07-17</t>
  </si>
  <si>
    <t>08/06/2025</t>
  </si>
  <si>
    <t>Customer 16</t>
  </si>
  <si>
    <t>14/01/2025</t>
  </si>
  <si>
    <t>02/02/2025</t>
  </si>
  <si>
    <t>2025-02-17</t>
  </si>
  <si>
    <t>04/04/2025</t>
  </si>
  <si>
    <t>2025-03-11</t>
  </si>
  <si>
    <t>Customer 45</t>
  </si>
  <si>
    <t>23-06-2025</t>
  </si>
  <si>
    <t>05-08-2025</t>
  </si>
  <si>
    <t>26/02/2025</t>
  </si>
  <si>
    <t>08/30/2025</t>
  </si>
  <si>
    <t>01/19/2025</t>
  </si>
  <si>
    <t>2025-01-25</t>
  </si>
  <si>
    <t>09/27/2025</t>
  </si>
  <si>
    <t>10-06-2025</t>
  </si>
  <si>
    <t>14/02/2025</t>
  </si>
  <si>
    <t>02/13/2025</t>
  </si>
  <si>
    <t>2025-09-11</t>
  </si>
  <si>
    <t>2025-06-30</t>
  </si>
  <si>
    <t>31/05/2025</t>
  </si>
  <si>
    <t>03/12/2025</t>
  </si>
  <si>
    <t>05/28/2025</t>
  </si>
  <si>
    <t>2025-07-24</t>
  </si>
  <si>
    <t>2025-07-26</t>
  </si>
  <si>
    <t>2025-07-19</t>
  </si>
  <si>
    <t>14/07/2025</t>
  </si>
  <si>
    <t>Customer 56</t>
  </si>
  <si>
    <t>2025-08-04</t>
  </si>
  <si>
    <t>30/07/2025</t>
  </si>
  <si>
    <t>08/08/2025</t>
  </si>
  <si>
    <t>02/01/2025</t>
  </si>
  <si>
    <t>04-07-2025</t>
  </si>
  <si>
    <t>10/09/2025</t>
  </si>
  <si>
    <t>Customer 60</t>
  </si>
  <si>
    <t>27-09-2025</t>
  </si>
  <si>
    <t>04/22/2025</t>
  </si>
  <si>
    <t>03/18/2025</t>
  </si>
  <si>
    <t>Customer 29</t>
  </si>
  <si>
    <t>2025-05-12</t>
  </si>
  <si>
    <t>Customer 39</t>
  </si>
  <si>
    <t>24/09/2025</t>
  </si>
  <si>
    <t>2025-05-23</t>
  </si>
  <si>
    <t>Customer 54</t>
  </si>
  <si>
    <t>01/09/2025</t>
  </si>
  <si>
    <t>01/18/2025</t>
  </si>
  <si>
    <t>17-09-2025</t>
  </si>
  <si>
    <t>2025-01-11</t>
  </si>
  <si>
    <t>09/09/2025</t>
  </si>
  <si>
    <t>2025-07-03</t>
  </si>
  <si>
    <t>09/08/2025</t>
  </si>
  <si>
    <t>2025-04-27</t>
  </si>
  <si>
    <t>02/20/2025</t>
  </si>
  <si>
    <t>2025-01-01</t>
  </si>
  <si>
    <t>03/10/2025</t>
  </si>
  <si>
    <t>17-03-2025</t>
  </si>
  <si>
    <t>01-09-2025</t>
  </si>
  <si>
    <t>2025-04-10</t>
  </si>
  <si>
    <t>13-08-2025</t>
  </si>
  <si>
    <t>03-06-2025</t>
  </si>
  <si>
    <t>2025-07-22</t>
  </si>
  <si>
    <t>02/15/2025</t>
  </si>
  <si>
    <t>04-08-2025</t>
  </si>
  <si>
    <t>18-09-2025</t>
  </si>
  <si>
    <t>2025-04-19</t>
  </si>
  <si>
    <t>2025-03-13</t>
  </si>
  <si>
    <t>Customer 32</t>
  </si>
  <si>
    <t>2025-05-16</t>
  </si>
  <si>
    <t>03/02/2025</t>
  </si>
  <si>
    <t>07/14/2025</t>
  </si>
  <si>
    <t>Customer 37</t>
  </si>
  <si>
    <t>25-07-2025</t>
  </si>
  <si>
    <t>Customer 41</t>
  </si>
  <si>
    <t>2025-08-21</t>
  </si>
  <si>
    <t>2025-04-14</t>
  </si>
  <si>
    <t>Customer 11</t>
  </si>
  <si>
    <t>05/16/2025</t>
  </si>
  <si>
    <t>2025-09-01</t>
  </si>
  <si>
    <t>Customer 44</t>
  </si>
  <si>
    <t>08-04-2025</t>
  </si>
  <si>
    <t>01/25/2025</t>
  </si>
  <si>
    <t>05/07/2025</t>
  </si>
  <si>
    <t>Customer 10</t>
  </si>
  <si>
    <t>Customer 26</t>
  </si>
  <si>
    <t>05/03/2025</t>
  </si>
  <si>
    <t>07/10/2025</t>
  </si>
  <si>
    <t>18/09/2025</t>
  </si>
  <si>
    <t>2025-08-02</t>
  </si>
  <si>
    <t>Customer 22</t>
  </si>
  <si>
    <t>03/11/2025</t>
  </si>
  <si>
    <t>16/06/2025</t>
  </si>
  <si>
    <t>18/08/2025</t>
  </si>
  <si>
    <t>20/01/2025</t>
  </si>
  <si>
    <t>07/01/2025</t>
  </si>
  <si>
    <t>2025-03-27</t>
  </si>
  <si>
    <t>29-05-2025</t>
  </si>
  <si>
    <t>Customer 25</t>
  </si>
  <si>
    <t>2025-05-02</t>
  </si>
  <si>
    <t>29-04-2025</t>
  </si>
  <si>
    <t>07/16/2025</t>
  </si>
  <si>
    <t>11-07-2025</t>
  </si>
  <si>
    <t>22-06-2025</t>
  </si>
  <si>
    <t>09/21/2025</t>
  </si>
  <si>
    <t>2025-06-07</t>
  </si>
  <si>
    <t>08/19/2025</t>
  </si>
  <si>
    <t>04-02-2025</t>
  </si>
  <si>
    <t>24/04/2025</t>
  </si>
  <si>
    <t>27-04-2025</t>
  </si>
  <si>
    <t>2025-03-31</t>
  </si>
  <si>
    <t>26/06/2025</t>
  </si>
  <si>
    <t>2025-04-03</t>
  </si>
  <si>
    <t>27-03-2025</t>
  </si>
  <si>
    <t>25-06-2025</t>
  </si>
  <si>
    <t>2025-03-24</t>
  </si>
  <si>
    <t>01-08-2025</t>
  </si>
  <si>
    <t>2025-07-09</t>
  </si>
  <si>
    <t>26-09-2025</t>
  </si>
  <si>
    <t>12/03/2025</t>
  </si>
  <si>
    <t>08-05-2025</t>
  </si>
  <si>
    <t>2025-02-13</t>
  </si>
  <si>
    <t>2025-02-24</t>
  </si>
  <si>
    <t>11-02-2025</t>
  </si>
  <si>
    <t>2025-04-11</t>
  </si>
  <si>
    <t>2025-09-05</t>
  </si>
  <si>
    <t>2025-04-04</t>
  </si>
  <si>
    <t>10-09-2025</t>
  </si>
  <si>
    <t>15-01-2025</t>
  </si>
  <si>
    <t>29-08-2025</t>
  </si>
  <si>
    <t>19-06-2025</t>
  </si>
  <si>
    <t>2025-01-08</t>
  </si>
  <si>
    <t>14/09/2025</t>
  </si>
  <si>
    <t>03/26/2025</t>
  </si>
  <si>
    <t>28-01-2025</t>
  </si>
  <si>
    <t>16-08-2025</t>
  </si>
  <si>
    <t>06/04/2025</t>
  </si>
  <si>
    <t>25/05/2025</t>
  </si>
  <si>
    <t>2025-02-07</t>
  </si>
  <si>
    <t>19-01-2025</t>
  </si>
  <si>
    <t>01/03/2025</t>
  </si>
  <si>
    <t>11-09-2025</t>
  </si>
  <si>
    <t>14-09-2025</t>
  </si>
  <si>
    <t>05/09/2025</t>
  </si>
  <si>
    <t>27-02-2025</t>
  </si>
  <si>
    <t>2025-01-27</t>
  </si>
  <si>
    <t>01-05-2025</t>
  </si>
  <si>
    <t>2025-02-09</t>
  </si>
  <si>
    <t>08/09/2025</t>
  </si>
  <si>
    <t>22/01/2025</t>
  </si>
  <si>
    <t>08/28/2025</t>
  </si>
  <si>
    <t>2025-07-01</t>
  </si>
  <si>
    <t>01/02/2025</t>
  </si>
  <si>
    <t>21-02-2025</t>
  </si>
  <si>
    <t>16/03/2025</t>
  </si>
  <si>
    <t>04/26/2025</t>
  </si>
  <si>
    <t>31-01-2025</t>
  </si>
  <si>
    <t>06/09/2025</t>
  </si>
  <si>
    <t>27-05-2025</t>
  </si>
  <si>
    <t>2025-08-16</t>
  </si>
  <si>
    <t>2025-04-26</t>
  </si>
  <si>
    <t>2025-08-08</t>
  </si>
  <si>
    <t>2025-09-07</t>
  </si>
  <si>
    <t>03/16/2025</t>
  </si>
  <si>
    <t>08/25/2025</t>
  </si>
  <si>
    <t>05/04/2025</t>
  </si>
  <si>
    <t>21/02/2025</t>
  </si>
  <si>
    <t>09/14/2025</t>
  </si>
  <si>
    <t>2025-02-02</t>
  </si>
  <si>
    <t>23-01-2025</t>
  </si>
  <si>
    <t>2025-01-07</t>
  </si>
  <si>
    <t>09-06-2025</t>
  </si>
  <si>
    <t>03/05/2025</t>
  </si>
  <si>
    <t>08/14/2025</t>
  </si>
  <si>
    <t>16-05-2025</t>
  </si>
  <si>
    <t>14-03-2025</t>
  </si>
  <si>
    <t>30/04/2025</t>
  </si>
  <si>
    <t>09/06/2025</t>
  </si>
  <si>
    <t>06/26/2025</t>
  </si>
  <si>
    <t>09/10/2025</t>
  </si>
  <si>
    <t>05/30/2025</t>
  </si>
  <si>
    <t>2025-06-19</t>
  </si>
  <si>
    <t>04/09/2025</t>
  </si>
  <si>
    <t>30/01/2025</t>
  </si>
  <si>
    <t>01/17/2025</t>
  </si>
  <si>
    <t>01-01-2025</t>
  </si>
  <si>
    <t>2025-04-02</t>
  </si>
  <si>
    <t>02/24/2025</t>
  </si>
  <si>
    <t>13-05-2025</t>
  </si>
  <si>
    <t>02/22/2025</t>
  </si>
  <si>
    <t>12/01/2025</t>
  </si>
  <si>
    <t>08/31/2025</t>
  </si>
  <si>
    <t>01/29/2025</t>
  </si>
  <si>
    <t>18-08-2025</t>
  </si>
  <si>
    <t>18/07/2025</t>
  </si>
  <si>
    <t>2025-03-14</t>
  </si>
  <si>
    <t>2025-01-17</t>
  </si>
  <si>
    <t>22-08-2025</t>
  </si>
  <si>
    <t>03-04-2025</t>
  </si>
  <si>
    <t>2025-03-08</t>
  </si>
  <si>
    <t>08-01-2025</t>
  </si>
  <si>
    <t>08-09-2025</t>
  </si>
  <si>
    <t>28-06-2025</t>
  </si>
  <si>
    <t>31-08-2025</t>
  </si>
  <si>
    <t>05/01/2025</t>
  </si>
  <si>
    <t>06/19/2025</t>
  </si>
  <si>
    <t>2025-03-06</t>
  </si>
  <si>
    <t>03/21/2025</t>
  </si>
  <si>
    <t>16/01/2025</t>
  </si>
  <si>
    <t>2025-08-19</t>
  </si>
  <si>
    <t>09/03/2025</t>
  </si>
  <si>
    <t>2025-05-11</t>
  </si>
  <si>
    <t>05/22/2025</t>
  </si>
  <si>
    <t>19/08/2025</t>
  </si>
  <si>
    <t>11/07/2025</t>
  </si>
  <si>
    <t>27/03/2025</t>
  </si>
  <si>
    <t>31-03-2025</t>
  </si>
  <si>
    <t>02/06/2025</t>
  </si>
  <si>
    <t>08/23/2025</t>
  </si>
  <si>
    <t>21/05/2025</t>
  </si>
  <si>
    <t>15-03-2025</t>
  </si>
  <si>
    <t>2025-09-04</t>
  </si>
  <si>
    <t>04-03-2025</t>
  </si>
  <si>
    <t>19/03/2025</t>
  </si>
  <si>
    <t>06/10/2025</t>
  </si>
  <si>
    <t>08/07/2025</t>
  </si>
  <si>
    <t>08/13/2025</t>
  </si>
  <si>
    <t>02/04/2025</t>
  </si>
  <si>
    <t>2025-05-08</t>
  </si>
  <si>
    <t>04/05/2025</t>
  </si>
  <si>
    <t>11-03-2025</t>
  </si>
  <si>
    <t>08/22/2025</t>
  </si>
  <si>
    <t>Customer 34</t>
  </si>
  <si>
    <t>08/02/2025</t>
  </si>
  <si>
    <t>25/03/2025</t>
  </si>
  <si>
    <t>26-07-2025</t>
  </si>
  <si>
    <t>2025-01-22</t>
  </si>
  <si>
    <t>30-05-2025</t>
  </si>
  <si>
    <t>05/29/2025</t>
  </si>
  <si>
    <t>08/11/2025</t>
  </si>
  <si>
    <t>17-01-2025</t>
  </si>
  <si>
    <t>2025-04-30</t>
  </si>
  <si>
    <t>24-01-2025</t>
  </si>
  <si>
    <t>29/07/2025</t>
  </si>
  <si>
    <t>2025-08-22</t>
  </si>
  <si>
    <t>2025-08-29</t>
  </si>
  <si>
    <t>2025-05-30</t>
  </si>
  <si>
    <t>15/04/2025</t>
  </si>
  <si>
    <t>12/08/2025</t>
  </si>
  <si>
    <t>23-08-2025</t>
  </si>
  <si>
    <t>16/09/2025</t>
  </si>
  <si>
    <t>09/19/2025</t>
  </si>
  <si>
    <t>09/15/2025</t>
  </si>
  <si>
    <t>04-04-2025</t>
  </si>
  <si>
    <t>18-03-2025</t>
  </si>
  <si>
    <t>25/08/2025</t>
  </si>
  <si>
    <t>2025-09-15</t>
  </si>
  <si>
    <t>2025-07-15</t>
  </si>
  <si>
    <t>29-01-2025</t>
  </si>
  <si>
    <t>2025-05-06</t>
  </si>
  <si>
    <t>2025-02-23</t>
  </si>
  <si>
    <t>23-04-2025</t>
  </si>
  <si>
    <t>10-07-2025</t>
  </si>
  <si>
    <t>07/18/2025</t>
  </si>
  <si>
    <t>21-01-2025</t>
  </si>
  <si>
    <t>23-07-2025</t>
  </si>
  <si>
    <t>04/30/2025</t>
  </si>
  <si>
    <t>21/04/2025</t>
  </si>
  <si>
    <t>20-01-2025</t>
  </si>
  <si>
    <t>08/17/2025</t>
  </si>
  <si>
    <t>26/03/2025</t>
  </si>
  <si>
    <t>04/01/2025</t>
  </si>
  <si>
    <t>25-04-2025</t>
  </si>
  <si>
    <t>Revenue</t>
  </si>
  <si>
    <t>Month</t>
  </si>
  <si>
    <t>2025-02-27</t>
  </si>
  <si>
    <t>North</t>
  </si>
  <si>
    <t>Usb-C Cable</t>
  </si>
  <si>
    <t>2025-02</t>
  </si>
  <si>
    <t>2025-08-03</t>
  </si>
  <si>
    <t>West</t>
  </si>
  <si>
    <t>Webcam Hd</t>
  </si>
  <si>
    <t>2025-08</t>
  </si>
  <si>
    <t>2025-04</t>
  </si>
  <si>
    <t>2025-07</t>
  </si>
  <si>
    <t>2025-08-25</t>
  </si>
  <si>
    <t>2025-05</t>
  </si>
  <si>
    <t>2025-01</t>
  </si>
  <si>
    <t>2025-08-05</t>
  </si>
  <si>
    <t>2025-08-31</t>
  </si>
  <si>
    <t>2025-01-28</t>
  </si>
  <si>
    <t>2025-09-18</t>
  </si>
  <si>
    <t>2025-09</t>
  </si>
  <si>
    <t>2025-08-23</t>
  </si>
  <si>
    <t>Unknown</t>
  </si>
  <si>
    <t>2025-03</t>
  </si>
  <si>
    <t>2025-03-21</t>
  </si>
  <si>
    <t>2025-06</t>
  </si>
  <si>
    <t>2025-09-24</t>
  </si>
  <si>
    <t>2025-03-12</t>
  </si>
  <si>
    <t>2025-02-01</t>
  </si>
  <si>
    <t>2025-12-08</t>
  </si>
  <si>
    <t>2025-12</t>
  </si>
  <si>
    <t>2025-05-07</t>
  </si>
  <si>
    <t>2025-08-09</t>
  </si>
  <si>
    <t>2025-05-09</t>
  </si>
  <si>
    <t>2025-07-14</t>
  </si>
  <si>
    <t>2025-02-20</t>
  </si>
  <si>
    <t>2025-09-09</t>
  </si>
  <si>
    <t>2025-03-02</t>
  </si>
  <si>
    <t>2025-03-16</t>
  </si>
  <si>
    <t>2025-03-19</t>
  </si>
  <si>
    <t>2025-01-19</t>
  </si>
  <si>
    <t>2025-02-21</t>
  </si>
  <si>
    <t>2025-05-28</t>
  </si>
  <si>
    <t>2025-06-04</t>
  </si>
  <si>
    <t>2025-12-01</t>
  </si>
  <si>
    <t>2025-12-03</t>
  </si>
  <si>
    <t>2025-06-17</t>
  </si>
  <si>
    <t>2025-04-24</t>
  </si>
  <si>
    <t>2025-10-09</t>
  </si>
  <si>
    <t>2025-10</t>
  </si>
  <si>
    <t>2025-04-22</t>
  </si>
  <si>
    <t>2025-01-02</t>
  </si>
  <si>
    <t>2025-06-16</t>
  </si>
  <si>
    <t>2025-07-10</t>
  </si>
  <si>
    <t>2025-07-25</t>
  </si>
  <si>
    <t>2025-03-28</t>
  </si>
  <si>
    <t>2025-01-20</t>
  </si>
  <si>
    <t>2025-05-25</t>
  </si>
  <si>
    <t>2025-09-06</t>
  </si>
  <si>
    <t>2025-09-27</t>
  </si>
  <si>
    <t>2025-03-26</t>
  </si>
  <si>
    <t>2025-10-07</t>
  </si>
  <si>
    <t>2025-08-30</t>
  </si>
  <si>
    <t>2025-02-26</t>
  </si>
  <si>
    <t>2025-06-26</t>
  </si>
  <si>
    <t>2025-01-18</t>
  </si>
  <si>
    <t>2025-08-17</t>
  </si>
  <si>
    <t>2025-01-16</t>
  </si>
  <si>
    <t>2025-01-31</t>
  </si>
  <si>
    <t>2025-09-14</t>
  </si>
  <si>
    <t>2025-04-17</t>
  </si>
  <si>
    <t>2025-04-20</t>
  </si>
  <si>
    <t>2025-04-29</t>
  </si>
  <si>
    <t>2025-05-29</t>
  </si>
  <si>
    <t>2025-09-10</t>
  </si>
  <si>
    <t>2025-11-07</t>
  </si>
  <si>
    <t>2025-11</t>
  </si>
  <si>
    <t>2025-11-02</t>
  </si>
  <si>
    <t>2025-06-28</t>
  </si>
  <si>
    <t>2025-02-06</t>
  </si>
  <si>
    <t>2025-05-04</t>
  </si>
  <si>
    <t>2025-09-08</t>
  </si>
  <si>
    <t>2025-02-04</t>
  </si>
  <si>
    <t>2025-01-09</t>
  </si>
  <si>
    <t>2025-06-01</t>
  </si>
  <si>
    <t>2025-04-07</t>
  </si>
  <si>
    <t>2025-03-04</t>
  </si>
  <si>
    <t>2025-07-29</t>
  </si>
  <si>
    <t>2025-08-18</t>
  </si>
  <si>
    <t>2025-08-07</t>
  </si>
  <si>
    <t>2025-02-22</t>
  </si>
  <si>
    <t>2025-07-30</t>
  </si>
  <si>
    <t>2025-07-02</t>
  </si>
  <si>
    <t>2025-08-06</t>
  </si>
  <si>
    <t>2025-05-13</t>
  </si>
  <si>
    <t>2025-09-26</t>
  </si>
  <si>
    <t>2025-01-30</t>
  </si>
  <si>
    <t>2025-01-29</t>
  </si>
  <si>
    <t>2025-04-23</t>
  </si>
  <si>
    <t>2025-06-15</t>
  </si>
  <si>
    <t>2025-03-25</t>
  </si>
  <si>
    <t>2025-07-12</t>
  </si>
  <si>
    <t>2025-05-18</t>
  </si>
  <si>
    <t>2025-08-11</t>
  </si>
  <si>
    <t>2025-03-23</t>
  </si>
  <si>
    <t>2025-04-09</t>
  </si>
  <si>
    <t>2025-09-16</t>
  </si>
  <si>
    <t>2025-05-01</t>
  </si>
  <si>
    <t>2025-05-21</t>
  </si>
  <si>
    <t>2025-10-06</t>
  </si>
  <si>
    <t>2025-01-03</t>
  </si>
  <si>
    <t>2025-08-13</t>
  </si>
  <si>
    <t>2025-06-14</t>
  </si>
  <si>
    <t>2025-05-27</t>
  </si>
  <si>
    <t>Total Revenue</t>
  </si>
  <si>
    <t>Units Sold</t>
  </si>
  <si>
    <t>Orders</t>
  </si>
  <si>
    <t>Avg Order Value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</si>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</sst>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4" fontId="2" fillId="0" borderId="1" xfId="0" applyNumberFormat="1" applyFont="1" applyBorder="1"/>
    <xf numFmtId="0" fontId="3" fillId="0" borderId="0" xfId="0" applyFont="1"/>
    <xf numFmtId="4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666666"/>
      <rgbColor rgb="00800080"/>
      <rgbColor rgb="00008080"/>
      <rgbColor rgb="00B7B7B7"/>
      <rgbColor rgb="00878787"/>
      <rgbColor rgb="009999FF"/>
      <rgbColor rgb="00C0504D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4F81BD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6"/>
  <sheetViews>
    <sheetView tabSelected="1" workbookViewId="0">
      <selection activeCell="A1" sqref="A1"/>
    </sheetView>
  </sheetViews>
  <sheetFormatPr defaultColWidth="8.67619047619048" defaultRowHeight="15" outlineLevelCol="7"/>
  <cols>
    <col min="1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1352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1355.11</v>
      </c>
    </row>
    <row r="3" spans="1:8">
      <c r="A3">
        <v>1130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1598.94</v>
      </c>
    </row>
    <row r="4" spans="1:8">
      <c r="A4">
        <v>1356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464.06</v>
      </c>
    </row>
    <row r="5" spans="1:8">
      <c r="A5">
        <v>1103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1499.54</v>
      </c>
    </row>
    <row r="6" spans="1:8">
      <c r="A6">
        <v>1310</v>
      </c>
      <c r="B6" t="s">
        <v>32</v>
      </c>
      <c r="C6" t="s">
        <v>33</v>
      </c>
      <c r="D6" t="s">
        <v>34</v>
      </c>
      <c r="E6" t="s">
        <v>35</v>
      </c>
      <c r="F6" t="s">
        <v>24</v>
      </c>
      <c r="G6" t="s">
        <v>36</v>
      </c>
    </row>
    <row r="7" spans="1:8">
      <c r="A7">
        <v>1015</v>
      </c>
      <c r="B7" t="s">
        <v>37</v>
      </c>
      <c r="C7" t="s">
        <v>38</v>
      </c>
      <c r="D7" t="s">
        <v>16</v>
      </c>
      <c r="E7" t="s">
        <v>39</v>
      </c>
      <c r="F7" t="s">
        <v>18</v>
      </c>
      <c r="G7" t="s">
        <v>13</v>
      </c>
      <c r="H7">
        <v>1989.12</v>
      </c>
    </row>
    <row r="8" spans="1:8">
      <c r="A8">
        <v>1392</v>
      </c>
      <c r="B8" t="s">
        <v>40</v>
      </c>
      <c r="C8" t="s">
        <v>41</v>
      </c>
      <c r="D8" t="s">
        <v>16</v>
      </c>
      <c r="E8" t="s">
        <v>39</v>
      </c>
      <c r="F8" t="s">
        <v>18</v>
      </c>
      <c r="G8" t="s">
        <v>42</v>
      </c>
      <c r="H8">
        <v>522</v>
      </c>
    </row>
    <row r="9" spans="1:8">
      <c r="A9">
        <v>1306</v>
      </c>
      <c r="B9" t="s">
        <v>43</v>
      </c>
      <c r="C9" t="s">
        <v>27</v>
      </c>
      <c r="D9" t="s">
        <v>10</v>
      </c>
      <c r="E9" t="s">
        <v>44</v>
      </c>
      <c r="F9" t="s">
        <v>45</v>
      </c>
      <c r="G9" t="s">
        <v>31</v>
      </c>
      <c r="H9">
        <v>1519.33</v>
      </c>
    </row>
    <row r="10" spans="1:8">
      <c r="A10">
        <v>1016</v>
      </c>
      <c r="B10" t="s">
        <v>46</v>
      </c>
      <c r="C10" t="s">
        <v>9</v>
      </c>
      <c r="D10" t="s">
        <v>47</v>
      </c>
      <c r="E10" t="s">
        <v>48</v>
      </c>
      <c r="F10" t="s">
        <v>45</v>
      </c>
      <c r="G10" t="s">
        <v>31</v>
      </c>
      <c r="H10">
        <v>1078.84</v>
      </c>
    </row>
    <row r="11" spans="1:8">
      <c r="A11">
        <v>1105</v>
      </c>
      <c r="B11" t="s">
        <v>49</v>
      </c>
      <c r="C11" t="s">
        <v>38</v>
      </c>
      <c r="D11" t="s">
        <v>50</v>
      </c>
      <c r="E11" t="s">
        <v>51</v>
      </c>
      <c r="F11" t="s">
        <v>12</v>
      </c>
      <c r="G11" t="s">
        <v>19</v>
      </c>
      <c r="H11">
        <v>296.3</v>
      </c>
    </row>
    <row r="12" spans="1:8">
      <c r="A12">
        <v>1204</v>
      </c>
      <c r="B12" t="s">
        <v>52</v>
      </c>
      <c r="D12" t="s">
        <v>50</v>
      </c>
      <c r="E12" t="s">
        <v>53</v>
      </c>
      <c r="F12" t="s">
        <v>54</v>
      </c>
      <c r="G12" t="s">
        <v>55</v>
      </c>
      <c r="H12">
        <v>496.75</v>
      </c>
    </row>
    <row r="13" spans="1:8">
      <c r="A13">
        <v>1088</v>
      </c>
      <c r="B13" t="s">
        <v>56</v>
      </c>
      <c r="C13" t="s">
        <v>57</v>
      </c>
      <c r="D13" t="s">
        <v>22</v>
      </c>
      <c r="E13" t="s">
        <v>58</v>
      </c>
      <c r="F13" t="s">
        <v>12</v>
      </c>
      <c r="G13" t="s">
        <v>42</v>
      </c>
      <c r="H13">
        <v>1648.57</v>
      </c>
    </row>
    <row r="14" spans="1:8">
      <c r="A14">
        <v>1061</v>
      </c>
      <c r="B14" t="s">
        <v>59</v>
      </c>
      <c r="C14" t="s">
        <v>57</v>
      </c>
      <c r="D14" t="s">
        <v>60</v>
      </c>
      <c r="E14" t="s">
        <v>61</v>
      </c>
      <c r="F14" t="s">
        <v>45</v>
      </c>
      <c r="G14" t="s">
        <v>31</v>
      </c>
      <c r="H14">
        <v>299.36</v>
      </c>
    </row>
    <row r="15" spans="1:8">
      <c r="A15">
        <v>1228</v>
      </c>
      <c r="B15" t="s">
        <v>62</v>
      </c>
      <c r="C15" t="s">
        <v>33</v>
      </c>
      <c r="D15" t="s">
        <v>60</v>
      </c>
      <c r="E15" t="s">
        <v>63</v>
      </c>
      <c r="F15" t="s">
        <v>54</v>
      </c>
      <c r="G15" t="s">
        <v>42</v>
      </c>
      <c r="H15">
        <v>2831.82</v>
      </c>
    </row>
    <row r="16" spans="1:8">
      <c r="A16">
        <v>1237</v>
      </c>
      <c r="B16" t="s">
        <v>64</v>
      </c>
      <c r="C16" t="s">
        <v>33</v>
      </c>
      <c r="D16" t="s">
        <v>65</v>
      </c>
      <c r="E16" t="s">
        <v>66</v>
      </c>
      <c r="F16" t="s">
        <v>54</v>
      </c>
      <c r="G16" t="s">
        <v>19</v>
      </c>
      <c r="H16">
        <v>282.84</v>
      </c>
    </row>
    <row r="17" spans="1:8">
      <c r="A17">
        <v>1137</v>
      </c>
      <c r="B17" t="s">
        <v>67</v>
      </c>
      <c r="C17" t="s">
        <v>41</v>
      </c>
      <c r="D17" t="s">
        <v>10</v>
      </c>
      <c r="E17" t="s">
        <v>48</v>
      </c>
      <c r="F17" t="s">
        <v>12</v>
      </c>
      <c r="G17" t="s">
        <v>42</v>
      </c>
      <c r="H17">
        <v>290.15</v>
      </c>
    </row>
    <row r="18" spans="1:8">
      <c r="A18">
        <v>1114</v>
      </c>
      <c r="B18" t="s">
        <v>68</v>
      </c>
      <c r="C18" t="s">
        <v>57</v>
      </c>
      <c r="D18" t="s">
        <v>60</v>
      </c>
      <c r="E18" t="s">
        <v>69</v>
      </c>
      <c r="F18" t="s">
        <v>18</v>
      </c>
      <c r="G18" t="s">
        <v>42</v>
      </c>
      <c r="H18">
        <v>721.62</v>
      </c>
    </row>
    <row r="19" spans="1:8">
      <c r="A19">
        <v>1112</v>
      </c>
      <c r="B19" t="s">
        <v>70</v>
      </c>
      <c r="C19" t="s">
        <v>9</v>
      </c>
      <c r="D19" t="s">
        <v>34</v>
      </c>
      <c r="E19" t="s">
        <v>69</v>
      </c>
      <c r="F19" t="s">
        <v>30</v>
      </c>
      <c r="G19" t="s">
        <v>36</v>
      </c>
      <c r="H19">
        <v>318.72</v>
      </c>
    </row>
    <row r="20" spans="1:8">
      <c r="A20">
        <v>1301</v>
      </c>
      <c r="B20" t="s">
        <v>71</v>
      </c>
      <c r="C20" t="s">
        <v>9</v>
      </c>
      <c r="D20" t="s">
        <v>16</v>
      </c>
      <c r="E20" t="s">
        <v>72</v>
      </c>
      <c r="F20" t="s">
        <v>45</v>
      </c>
      <c r="G20" t="s">
        <v>31</v>
      </c>
      <c r="H20">
        <v>1072.13</v>
      </c>
    </row>
    <row r="21" spans="1:8">
      <c r="A21">
        <v>1348</v>
      </c>
      <c r="B21" t="s">
        <v>73</v>
      </c>
      <c r="C21" t="s">
        <v>21</v>
      </c>
      <c r="D21" t="s">
        <v>47</v>
      </c>
      <c r="E21" t="s">
        <v>74</v>
      </c>
      <c r="F21" t="s">
        <v>45</v>
      </c>
      <c r="G21" t="s">
        <v>55</v>
      </c>
      <c r="H21">
        <v>3209.71</v>
      </c>
    </row>
    <row r="22" spans="1:8">
      <c r="A22">
        <v>1102</v>
      </c>
      <c r="B22" t="s">
        <v>75</v>
      </c>
      <c r="C22" t="s">
        <v>57</v>
      </c>
      <c r="D22" t="s">
        <v>22</v>
      </c>
      <c r="E22" t="s">
        <v>69</v>
      </c>
      <c r="F22" t="s">
        <v>45</v>
      </c>
      <c r="G22" t="s">
        <v>76</v>
      </c>
      <c r="H22">
        <v>1458.49</v>
      </c>
    </row>
    <row r="23" spans="1:8">
      <c r="A23">
        <v>1296</v>
      </c>
      <c r="B23" t="s">
        <v>77</v>
      </c>
      <c r="C23" t="s">
        <v>33</v>
      </c>
      <c r="D23" t="s">
        <v>34</v>
      </c>
      <c r="E23" t="s">
        <v>78</v>
      </c>
      <c r="F23" t="s">
        <v>12</v>
      </c>
      <c r="G23" t="s">
        <v>31</v>
      </c>
      <c r="H23">
        <v>3238.86</v>
      </c>
    </row>
    <row r="24" spans="1:8">
      <c r="A24">
        <v>1194</v>
      </c>
      <c r="B24" t="s">
        <v>79</v>
      </c>
      <c r="C24" t="s">
        <v>9</v>
      </c>
      <c r="D24" t="s">
        <v>28</v>
      </c>
      <c r="E24" t="s">
        <v>80</v>
      </c>
      <c r="F24" t="s">
        <v>30</v>
      </c>
      <c r="G24" t="s">
        <v>25</v>
      </c>
      <c r="H24">
        <v>543.06</v>
      </c>
    </row>
    <row r="25" spans="1:8">
      <c r="A25">
        <v>1083</v>
      </c>
      <c r="B25" t="s">
        <v>81</v>
      </c>
      <c r="C25" t="s">
        <v>41</v>
      </c>
      <c r="D25" t="s">
        <v>50</v>
      </c>
      <c r="E25" t="s">
        <v>82</v>
      </c>
      <c r="F25" t="s">
        <v>18</v>
      </c>
      <c r="G25" t="s">
        <v>19</v>
      </c>
      <c r="H25">
        <v>818.6</v>
      </c>
    </row>
    <row r="26" spans="1:8">
      <c r="A26">
        <v>1284</v>
      </c>
      <c r="B26" t="s">
        <v>83</v>
      </c>
      <c r="C26" t="s">
        <v>33</v>
      </c>
      <c r="D26" t="s">
        <v>60</v>
      </c>
      <c r="E26" t="s">
        <v>84</v>
      </c>
      <c r="F26" t="s">
        <v>12</v>
      </c>
      <c r="G26" t="s">
        <v>13</v>
      </c>
      <c r="H26">
        <v>1053.64</v>
      </c>
    </row>
    <row r="27" spans="1:8">
      <c r="A27">
        <v>1376</v>
      </c>
      <c r="B27" t="s">
        <v>85</v>
      </c>
      <c r="C27" t="s">
        <v>21</v>
      </c>
      <c r="D27" t="s">
        <v>10</v>
      </c>
      <c r="E27" t="s">
        <v>86</v>
      </c>
      <c r="F27" t="s">
        <v>45</v>
      </c>
      <c r="G27" t="s">
        <v>25</v>
      </c>
      <c r="H27">
        <v>793.29</v>
      </c>
    </row>
    <row r="28" spans="1:8">
      <c r="A28">
        <v>1126</v>
      </c>
      <c r="B28" t="s">
        <v>87</v>
      </c>
      <c r="C28" t="s">
        <v>21</v>
      </c>
      <c r="D28" t="s">
        <v>47</v>
      </c>
      <c r="E28" t="s">
        <v>88</v>
      </c>
      <c r="F28" t="s">
        <v>30</v>
      </c>
      <c r="G28" t="s">
        <v>42</v>
      </c>
      <c r="H28">
        <v>321.92</v>
      </c>
    </row>
    <row r="29" spans="1:8">
      <c r="A29">
        <v>1128</v>
      </c>
      <c r="B29" t="s">
        <v>89</v>
      </c>
      <c r="C29" t="s">
        <v>15</v>
      </c>
      <c r="D29" t="s">
        <v>90</v>
      </c>
      <c r="E29" t="s">
        <v>91</v>
      </c>
      <c r="F29" t="s">
        <v>24</v>
      </c>
      <c r="G29" t="s">
        <v>42</v>
      </c>
      <c r="H29">
        <v>1004.38</v>
      </c>
    </row>
    <row r="30" spans="1:8">
      <c r="A30">
        <v>1321</v>
      </c>
      <c r="B30" t="s">
        <v>92</v>
      </c>
      <c r="C30" t="s">
        <v>27</v>
      </c>
      <c r="D30" t="s">
        <v>65</v>
      </c>
      <c r="E30" t="s">
        <v>93</v>
      </c>
      <c r="F30" t="s">
        <v>45</v>
      </c>
      <c r="G30" t="s">
        <v>19</v>
      </c>
    </row>
    <row r="31" spans="1:8">
      <c r="A31">
        <v>1127</v>
      </c>
      <c r="B31" t="s">
        <v>94</v>
      </c>
      <c r="C31" t="s">
        <v>21</v>
      </c>
      <c r="D31" t="s">
        <v>95</v>
      </c>
      <c r="E31" t="s">
        <v>53</v>
      </c>
      <c r="F31" t="s">
        <v>45</v>
      </c>
      <c r="H31">
        <v>1481.62</v>
      </c>
    </row>
    <row r="32" spans="1:8">
      <c r="A32">
        <v>1326</v>
      </c>
      <c r="B32" t="s">
        <v>96</v>
      </c>
      <c r="C32" t="s">
        <v>21</v>
      </c>
      <c r="D32" t="s">
        <v>34</v>
      </c>
      <c r="E32" t="s">
        <v>97</v>
      </c>
      <c r="F32" t="s">
        <v>24</v>
      </c>
      <c r="G32" t="s">
        <v>76</v>
      </c>
      <c r="H32">
        <v>2178.39</v>
      </c>
    </row>
    <row r="33" spans="1:8">
      <c r="A33">
        <v>1291</v>
      </c>
      <c r="B33" t="s">
        <v>98</v>
      </c>
      <c r="C33" t="s">
        <v>38</v>
      </c>
      <c r="D33" t="s">
        <v>99</v>
      </c>
      <c r="E33" t="s">
        <v>100</v>
      </c>
      <c r="F33" t="s">
        <v>18</v>
      </c>
      <c r="G33" t="s">
        <v>76</v>
      </c>
      <c r="H33">
        <v>325.83</v>
      </c>
    </row>
    <row r="34" spans="1:8">
      <c r="A34">
        <v>1209</v>
      </c>
      <c r="B34" t="s">
        <v>101</v>
      </c>
      <c r="C34" t="s">
        <v>33</v>
      </c>
      <c r="D34" t="s">
        <v>90</v>
      </c>
      <c r="E34" t="s">
        <v>102</v>
      </c>
      <c r="F34" t="s">
        <v>30</v>
      </c>
      <c r="G34" t="s">
        <v>31</v>
      </c>
      <c r="H34">
        <v>318.66</v>
      </c>
    </row>
    <row r="35" spans="1:8">
      <c r="A35">
        <v>1073</v>
      </c>
      <c r="B35" t="s">
        <v>103</v>
      </c>
      <c r="C35" t="s">
        <v>38</v>
      </c>
      <c r="D35" t="s">
        <v>28</v>
      </c>
      <c r="E35" t="s">
        <v>104</v>
      </c>
      <c r="F35" t="s">
        <v>30</v>
      </c>
      <c r="G35" t="s">
        <v>13</v>
      </c>
      <c r="H35">
        <v>1527.82</v>
      </c>
    </row>
    <row r="36" spans="1:8">
      <c r="A36">
        <v>1144</v>
      </c>
      <c r="B36" t="s">
        <v>105</v>
      </c>
      <c r="C36" t="s">
        <v>15</v>
      </c>
      <c r="D36" t="s">
        <v>16</v>
      </c>
      <c r="E36" t="s">
        <v>106</v>
      </c>
      <c r="F36" t="s">
        <v>54</v>
      </c>
      <c r="G36" t="s">
        <v>31</v>
      </c>
      <c r="H36">
        <v>747.91</v>
      </c>
    </row>
    <row r="37" spans="1:8">
      <c r="A37">
        <v>1193</v>
      </c>
      <c r="B37" t="s">
        <v>107</v>
      </c>
      <c r="C37" t="s">
        <v>33</v>
      </c>
      <c r="D37" t="s">
        <v>34</v>
      </c>
      <c r="E37" t="s">
        <v>108</v>
      </c>
      <c r="F37" t="s">
        <v>30</v>
      </c>
      <c r="G37" t="s">
        <v>31</v>
      </c>
      <c r="H37">
        <v>1455.32</v>
      </c>
    </row>
    <row r="38" spans="1:8">
      <c r="A38">
        <v>1211</v>
      </c>
      <c r="B38" t="s">
        <v>109</v>
      </c>
      <c r="C38" t="s">
        <v>27</v>
      </c>
      <c r="D38" t="s">
        <v>16</v>
      </c>
      <c r="E38" t="s">
        <v>63</v>
      </c>
      <c r="F38" t="s">
        <v>45</v>
      </c>
      <c r="G38" t="s">
        <v>42</v>
      </c>
      <c r="H38">
        <v>302.52</v>
      </c>
    </row>
    <row r="39" spans="1:8">
      <c r="A39">
        <v>1124</v>
      </c>
      <c r="B39" t="s">
        <v>110</v>
      </c>
      <c r="C39" t="s">
        <v>57</v>
      </c>
      <c r="D39" t="s">
        <v>34</v>
      </c>
      <c r="E39" t="s">
        <v>80</v>
      </c>
      <c r="F39" t="s">
        <v>24</v>
      </c>
      <c r="G39" t="s">
        <v>25</v>
      </c>
      <c r="H39">
        <v>775.19</v>
      </c>
    </row>
    <row r="40" spans="1:8">
      <c r="A40">
        <v>1359</v>
      </c>
      <c r="B40" t="s">
        <v>111</v>
      </c>
      <c r="C40" t="s">
        <v>27</v>
      </c>
      <c r="D40" t="s">
        <v>10</v>
      </c>
      <c r="E40" t="s">
        <v>84</v>
      </c>
      <c r="F40" t="s">
        <v>30</v>
      </c>
      <c r="G40" t="s">
        <v>13</v>
      </c>
      <c r="H40">
        <v>734.7</v>
      </c>
    </row>
    <row r="41" spans="1:8">
      <c r="A41">
        <v>1056</v>
      </c>
      <c r="B41" t="s">
        <v>112</v>
      </c>
      <c r="C41" t="s">
        <v>33</v>
      </c>
      <c r="D41" t="s">
        <v>60</v>
      </c>
      <c r="E41" t="s">
        <v>113</v>
      </c>
      <c r="F41" t="s">
        <v>45</v>
      </c>
      <c r="G41" t="s">
        <v>25</v>
      </c>
      <c r="H41">
        <v>3269.63</v>
      </c>
    </row>
    <row r="42" spans="1:8">
      <c r="A42">
        <v>1067</v>
      </c>
      <c r="B42" t="s">
        <v>114</v>
      </c>
      <c r="C42" t="s">
        <v>33</v>
      </c>
      <c r="D42" t="s">
        <v>95</v>
      </c>
      <c r="E42" t="s">
        <v>115</v>
      </c>
      <c r="F42" t="s">
        <v>30</v>
      </c>
      <c r="G42" t="s">
        <v>31</v>
      </c>
      <c r="H42">
        <v>1098.23</v>
      </c>
    </row>
    <row r="43" spans="1:8">
      <c r="A43">
        <v>1373</v>
      </c>
      <c r="B43" t="s">
        <v>116</v>
      </c>
      <c r="C43" t="s">
        <v>21</v>
      </c>
      <c r="D43" t="s">
        <v>90</v>
      </c>
      <c r="E43" t="s">
        <v>69</v>
      </c>
      <c r="F43" t="s">
        <v>54</v>
      </c>
      <c r="H43">
        <v>509.88</v>
      </c>
    </row>
    <row r="44" spans="1:8">
      <c r="A44">
        <v>1260</v>
      </c>
      <c r="B44" t="s">
        <v>117</v>
      </c>
      <c r="C44" t="s">
        <v>38</v>
      </c>
      <c r="D44" t="s">
        <v>10</v>
      </c>
      <c r="E44" t="s">
        <v>118</v>
      </c>
      <c r="F44" t="s">
        <v>18</v>
      </c>
      <c r="G44" t="s">
        <v>36</v>
      </c>
      <c r="H44">
        <v>1401.4</v>
      </c>
    </row>
    <row r="45" spans="1:8">
      <c r="A45">
        <v>1342</v>
      </c>
      <c r="B45" t="s">
        <v>119</v>
      </c>
      <c r="C45" t="s">
        <v>57</v>
      </c>
      <c r="D45" t="s">
        <v>47</v>
      </c>
      <c r="E45" t="s">
        <v>120</v>
      </c>
      <c r="F45" t="s">
        <v>30</v>
      </c>
      <c r="G45" t="s">
        <v>19</v>
      </c>
      <c r="H45">
        <v>2950.77</v>
      </c>
    </row>
    <row r="46" spans="1:8">
      <c r="A46">
        <v>1393</v>
      </c>
      <c r="B46" t="s">
        <v>121</v>
      </c>
      <c r="C46" t="s">
        <v>15</v>
      </c>
      <c r="D46" t="s">
        <v>65</v>
      </c>
      <c r="E46" t="s">
        <v>102</v>
      </c>
      <c r="F46" t="s">
        <v>24</v>
      </c>
      <c r="G46" t="s">
        <v>36</v>
      </c>
      <c r="H46">
        <v>782.68</v>
      </c>
    </row>
    <row r="47" spans="1:8">
      <c r="A47">
        <v>1355</v>
      </c>
      <c r="B47" t="s">
        <v>83</v>
      </c>
      <c r="C47" t="s">
        <v>33</v>
      </c>
      <c r="D47" t="s">
        <v>16</v>
      </c>
      <c r="E47" t="s">
        <v>23</v>
      </c>
      <c r="F47" t="s">
        <v>30</v>
      </c>
      <c r="G47" t="s">
        <v>42</v>
      </c>
      <c r="H47">
        <v>766.8</v>
      </c>
    </row>
    <row r="48" spans="1:8">
      <c r="A48">
        <v>1024</v>
      </c>
      <c r="B48" t="s">
        <v>122</v>
      </c>
      <c r="C48" t="s">
        <v>33</v>
      </c>
      <c r="D48" t="s">
        <v>99</v>
      </c>
      <c r="E48" t="s">
        <v>82</v>
      </c>
      <c r="F48" t="s">
        <v>30</v>
      </c>
      <c r="H48">
        <v>1624.73</v>
      </c>
    </row>
    <row r="49" spans="1:8">
      <c r="A49">
        <v>1134</v>
      </c>
      <c r="B49" t="s">
        <v>123</v>
      </c>
      <c r="C49" t="s">
        <v>38</v>
      </c>
      <c r="D49" t="s">
        <v>16</v>
      </c>
      <c r="E49" t="s">
        <v>74</v>
      </c>
      <c r="F49" t="s">
        <v>18</v>
      </c>
      <c r="G49" t="s">
        <v>31</v>
      </c>
      <c r="H49">
        <v>835.34</v>
      </c>
    </row>
    <row r="50" spans="1:8">
      <c r="A50">
        <v>1040</v>
      </c>
      <c r="B50" t="s">
        <v>124</v>
      </c>
      <c r="C50" t="s">
        <v>57</v>
      </c>
      <c r="D50" t="s">
        <v>47</v>
      </c>
      <c r="E50" t="s">
        <v>125</v>
      </c>
      <c r="F50" t="s">
        <v>54</v>
      </c>
      <c r="G50" t="s">
        <v>19</v>
      </c>
      <c r="H50">
        <v>3022.06</v>
      </c>
    </row>
    <row r="51" spans="1:8">
      <c r="A51">
        <v>1225</v>
      </c>
      <c r="B51" t="s">
        <v>126</v>
      </c>
      <c r="C51" t="s">
        <v>9</v>
      </c>
      <c r="D51" t="s">
        <v>60</v>
      </c>
      <c r="E51" t="s">
        <v>48</v>
      </c>
      <c r="F51" t="s">
        <v>54</v>
      </c>
      <c r="G51" t="s">
        <v>36</v>
      </c>
      <c r="H51">
        <v>545.12</v>
      </c>
    </row>
    <row r="52" spans="1:8">
      <c r="A52">
        <v>1027</v>
      </c>
      <c r="B52" t="s">
        <v>127</v>
      </c>
      <c r="C52" t="s">
        <v>15</v>
      </c>
      <c r="D52" t="s">
        <v>34</v>
      </c>
      <c r="E52" t="s">
        <v>53</v>
      </c>
      <c r="F52" t="s">
        <v>24</v>
      </c>
      <c r="G52" t="s">
        <v>25</v>
      </c>
      <c r="H52">
        <v>962.27</v>
      </c>
    </row>
    <row r="53" spans="1:8">
      <c r="A53">
        <v>1031</v>
      </c>
      <c r="B53" t="s">
        <v>128</v>
      </c>
      <c r="C53" t="s">
        <v>41</v>
      </c>
      <c r="D53" t="s">
        <v>22</v>
      </c>
      <c r="E53" t="s">
        <v>129</v>
      </c>
      <c r="F53" t="s">
        <v>54</v>
      </c>
      <c r="G53" t="s">
        <v>55</v>
      </c>
      <c r="H53">
        <v>1968.45</v>
      </c>
    </row>
    <row r="54" spans="1:8">
      <c r="A54">
        <v>1279</v>
      </c>
      <c r="B54" t="s">
        <v>130</v>
      </c>
      <c r="C54" t="s">
        <v>33</v>
      </c>
      <c r="D54" t="s">
        <v>10</v>
      </c>
      <c r="E54" t="s">
        <v>113</v>
      </c>
      <c r="F54" t="s">
        <v>54</v>
      </c>
      <c r="G54" t="s">
        <v>55</v>
      </c>
      <c r="H54">
        <v>306.55</v>
      </c>
    </row>
    <row r="55" spans="1:8">
      <c r="A55">
        <v>1338</v>
      </c>
      <c r="B55" t="s">
        <v>131</v>
      </c>
      <c r="C55" t="s">
        <v>27</v>
      </c>
      <c r="D55" t="s">
        <v>47</v>
      </c>
      <c r="E55" t="s">
        <v>53</v>
      </c>
      <c r="F55" t="s">
        <v>54</v>
      </c>
      <c r="G55" t="s">
        <v>31</v>
      </c>
      <c r="H55">
        <v>1936.55</v>
      </c>
    </row>
    <row r="56" spans="1:8">
      <c r="A56">
        <v>1290</v>
      </c>
      <c r="B56" t="s">
        <v>132</v>
      </c>
      <c r="C56" t="s">
        <v>15</v>
      </c>
      <c r="D56" t="s">
        <v>65</v>
      </c>
      <c r="E56" t="s">
        <v>63</v>
      </c>
      <c r="F56" t="s">
        <v>12</v>
      </c>
      <c r="G56" t="s">
        <v>19</v>
      </c>
      <c r="H56">
        <v>1868.17</v>
      </c>
    </row>
    <row r="57" spans="1:8">
      <c r="A57">
        <v>1305</v>
      </c>
      <c r="B57" t="s">
        <v>133</v>
      </c>
      <c r="C57" t="s">
        <v>21</v>
      </c>
      <c r="D57" t="s">
        <v>90</v>
      </c>
      <c r="E57" t="s">
        <v>72</v>
      </c>
      <c r="F57" t="s">
        <v>18</v>
      </c>
      <c r="G57" t="s">
        <v>19</v>
      </c>
      <c r="H57">
        <v>1039.13</v>
      </c>
    </row>
    <row r="58" spans="1:8">
      <c r="A58">
        <v>1377</v>
      </c>
      <c r="B58" t="s">
        <v>134</v>
      </c>
      <c r="C58" t="s">
        <v>33</v>
      </c>
      <c r="D58" t="s">
        <v>10</v>
      </c>
      <c r="E58" t="s">
        <v>88</v>
      </c>
      <c r="F58" t="s">
        <v>45</v>
      </c>
      <c r="G58" t="s">
        <v>55</v>
      </c>
      <c r="H58">
        <v>320</v>
      </c>
    </row>
    <row r="59" spans="1:8">
      <c r="A59">
        <v>1323</v>
      </c>
      <c r="B59" t="s">
        <v>135</v>
      </c>
      <c r="C59" t="s">
        <v>57</v>
      </c>
      <c r="D59" t="s">
        <v>34</v>
      </c>
      <c r="E59" t="s">
        <v>136</v>
      </c>
      <c r="F59" t="s">
        <v>24</v>
      </c>
      <c r="G59" t="s">
        <v>13</v>
      </c>
      <c r="H59">
        <v>2765.63</v>
      </c>
    </row>
    <row r="60" spans="1:8">
      <c r="A60">
        <v>1243</v>
      </c>
      <c r="B60" t="s">
        <v>137</v>
      </c>
      <c r="C60" t="s">
        <v>38</v>
      </c>
      <c r="D60" t="s">
        <v>90</v>
      </c>
      <c r="E60" t="s">
        <v>80</v>
      </c>
      <c r="F60" t="s">
        <v>18</v>
      </c>
      <c r="G60" t="s">
        <v>13</v>
      </c>
      <c r="H60">
        <v>2112.5</v>
      </c>
    </row>
    <row r="61" spans="1:8">
      <c r="A61">
        <v>1107</v>
      </c>
      <c r="B61" t="s">
        <v>138</v>
      </c>
      <c r="C61" t="s">
        <v>41</v>
      </c>
      <c r="D61" t="s">
        <v>47</v>
      </c>
      <c r="E61" t="s">
        <v>48</v>
      </c>
      <c r="F61" t="s">
        <v>24</v>
      </c>
      <c r="G61" t="s">
        <v>13</v>
      </c>
      <c r="H61">
        <v>277.46</v>
      </c>
    </row>
    <row r="62" spans="1:8">
      <c r="A62">
        <v>1101</v>
      </c>
      <c r="B62" t="s">
        <v>139</v>
      </c>
      <c r="C62" t="s">
        <v>9</v>
      </c>
      <c r="D62" t="s">
        <v>10</v>
      </c>
      <c r="E62" t="s">
        <v>93</v>
      </c>
      <c r="F62" t="s">
        <v>30</v>
      </c>
      <c r="G62" t="s">
        <v>25</v>
      </c>
      <c r="H62">
        <v>2101.18</v>
      </c>
    </row>
    <row r="63" spans="1:8">
      <c r="A63">
        <v>1066</v>
      </c>
      <c r="B63" t="s">
        <v>140</v>
      </c>
      <c r="C63" t="s">
        <v>9</v>
      </c>
      <c r="D63" t="s">
        <v>47</v>
      </c>
      <c r="E63" t="s">
        <v>141</v>
      </c>
      <c r="F63" t="s">
        <v>24</v>
      </c>
      <c r="H63">
        <v>1057.53</v>
      </c>
    </row>
    <row r="64" spans="1:8">
      <c r="A64">
        <v>1123</v>
      </c>
      <c r="B64" t="s">
        <v>142</v>
      </c>
      <c r="C64" t="s">
        <v>33</v>
      </c>
      <c r="D64" t="s">
        <v>90</v>
      </c>
      <c r="E64" t="s">
        <v>113</v>
      </c>
      <c r="F64" t="s">
        <v>12</v>
      </c>
      <c r="G64" t="s">
        <v>42</v>
      </c>
      <c r="H64">
        <v>529.66</v>
      </c>
    </row>
    <row r="65" spans="1:8">
      <c r="A65">
        <v>1116</v>
      </c>
      <c r="B65" t="s">
        <v>143</v>
      </c>
      <c r="C65" t="s">
        <v>41</v>
      </c>
      <c r="D65" t="s">
        <v>10</v>
      </c>
      <c r="E65" t="s">
        <v>144</v>
      </c>
      <c r="F65" t="s">
        <v>54</v>
      </c>
      <c r="H65">
        <v>2939.99</v>
      </c>
    </row>
    <row r="66" spans="1:8">
      <c r="A66">
        <v>1037</v>
      </c>
      <c r="B66" t="s">
        <v>145</v>
      </c>
      <c r="C66" t="s">
        <v>9</v>
      </c>
      <c r="D66" t="s">
        <v>28</v>
      </c>
      <c r="E66" t="s">
        <v>144</v>
      </c>
      <c r="F66" t="s">
        <v>24</v>
      </c>
      <c r="G66" t="s">
        <v>36</v>
      </c>
      <c r="H66">
        <v>964.69</v>
      </c>
    </row>
    <row r="67" spans="1:8">
      <c r="A67">
        <v>1372</v>
      </c>
      <c r="B67" t="s">
        <v>146</v>
      </c>
      <c r="C67" t="s">
        <v>15</v>
      </c>
      <c r="D67" t="s">
        <v>10</v>
      </c>
      <c r="E67" t="s">
        <v>147</v>
      </c>
      <c r="F67" t="s">
        <v>24</v>
      </c>
      <c r="G67" t="s">
        <v>19</v>
      </c>
      <c r="H67">
        <v>818.62</v>
      </c>
    </row>
    <row r="68" spans="1:8">
      <c r="A68">
        <v>1332</v>
      </c>
      <c r="B68" t="s">
        <v>148</v>
      </c>
      <c r="C68" t="s">
        <v>38</v>
      </c>
      <c r="D68" t="s">
        <v>16</v>
      </c>
      <c r="E68" t="s">
        <v>129</v>
      </c>
      <c r="F68" t="s">
        <v>54</v>
      </c>
      <c r="G68" t="s">
        <v>31</v>
      </c>
      <c r="H68">
        <v>1644.49</v>
      </c>
    </row>
    <row r="69" spans="1:8">
      <c r="A69">
        <v>1397</v>
      </c>
      <c r="B69" t="s">
        <v>149</v>
      </c>
      <c r="C69" t="s">
        <v>57</v>
      </c>
      <c r="D69" t="s">
        <v>16</v>
      </c>
      <c r="E69" t="s">
        <v>147</v>
      </c>
      <c r="F69" t="s">
        <v>54</v>
      </c>
      <c r="G69" t="s">
        <v>13</v>
      </c>
      <c r="H69">
        <v>454.4</v>
      </c>
    </row>
    <row r="70" spans="1:8">
      <c r="A70">
        <v>1270</v>
      </c>
      <c r="B70" t="s">
        <v>150</v>
      </c>
      <c r="C70" t="s">
        <v>38</v>
      </c>
      <c r="D70" t="s">
        <v>65</v>
      </c>
      <c r="E70" t="s">
        <v>104</v>
      </c>
      <c r="F70" t="s">
        <v>12</v>
      </c>
      <c r="G70" t="s">
        <v>19</v>
      </c>
      <c r="H70">
        <v>3293.44</v>
      </c>
    </row>
    <row r="71" spans="1:8">
      <c r="A71">
        <v>1230</v>
      </c>
      <c r="B71" t="s">
        <v>151</v>
      </c>
      <c r="C71" t="s">
        <v>41</v>
      </c>
      <c r="D71" t="s">
        <v>47</v>
      </c>
      <c r="E71" t="s">
        <v>23</v>
      </c>
      <c r="F71" t="s">
        <v>24</v>
      </c>
      <c r="H71">
        <v>932.71</v>
      </c>
    </row>
    <row r="72" spans="1:8">
      <c r="A72">
        <v>1263</v>
      </c>
      <c r="B72" t="s">
        <v>152</v>
      </c>
      <c r="C72" t="s">
        <v>33</v>
      </c>
      <c r="D72" t="s">
        <v>28</v>
      </c>
      <c r="E72" t="s">
        <v>108</v>
      </c>
      <c r="F72" t="s">
        <v>54</v>
      </c>
      <c r="G72" t="s">
        <v>25</v>
      </c>
      <c r="H72">
        <v>2143.98</v>
      </c>
    </row>
    <row r="73" spans="1:8">
      <c r="A73">
        <v>1280</v>
      </c>
      <c r="B73" t="s">
        <v>153</v>
      </c>
      <c r="C73" t="s">
        <v>41</v>
      </c>
      <c r="D73" t="s">
        <v>99</v>
      </c>
      <c r="E73" t="s">
        <v>125</v>
      </c>
      <c r="F73" t="s">
        <v>18</v>
      </c>
      <c r="G73" t="s">
        <v>13</v>
      </c>
      <c r="H73">
        <v>1919.79</v>
      </c>
    </row>
    <row r="74" spans="1:8">
      <c r="A74">
        <v>1159</v>
      </c>
      <c r="B74" t="s">
        <v>154</v>
      </c>
      <c r="C74" t="s">
        <v>27</v>
      </c>
      <c r="D74" t="s">
        <v>34</v>
      </c>
      <c r="E74" t="s">
        <v>155</v>
      </c>
      <c r="F74" t="s">
        <v>24</v>
      </c>
    </row>
    <row r="75" spans="1:8">
      <c r="A75">
        <v>1081</v>
      </c>
      <c r="B75" t="s">
        <v>156</v>
      </c>
      <c r="C75" t="s">
        <v>41</v>
      </c>
      <c r="D75" t="s">
        <v>60</v>
      </c>
      <c r="E75" t="s">
        <v>63</v>
      </c>
      <c r="F75" t="s">
        <v>12</v>
      </c>
      <c r="G75" t="s">
        <v>31</v>
      </c>
      <c r="H75">
        <v>1840.92</v>
      </c>
    </row>
    <row r="76" spans="1:8">
      <c r="A76">
        <v>1195</v>
      </c>
      <c r="B76" t="s">
        <v>157</v>
      </c>
      <c r="C76" t="s">
        <v>33</v>
      </c>
      <c r="D76" t="s">
        <v>95</v>
      </c>
      <c r="E76" t="s">
        <v>158</v>
      </c>
      <c r="F76" t="s">
        <v>30</v>
      </c>
      <c r="G76" t="s">
        <v>25</v>
      </c>
      <c r="H76">
        <v>738.58</v>
      </c>
    </row>
    <row r="77" spans="1:8">
      <c r="A77">
        <v>1142</v>
      </c>
      <c r="B77" t="s">
        <v>159</v>
      </c>
      <c r="C77" t="s">
        <v>21</v>
      </c>
      <c r="D77" t="s">
        <v>47</v>
      </c>
      <c r="E77" t="s">
        <v>66</v>
      </c>
      <c r="F77" t="s">
        <v>24</v>
      </c>
      <c r="G77" t="s">
        <v>42</v>
      </c>
      <c r="H77">
        <v>2789.29</v>
      </c>
    </row>
    <row r="78" spans="1:8">
      <c r="A78">
        <v>1294</v>
      </c>
      <c r="B78" t="s">
        <v>160</v>
      </c>
      <c r="C78" t="s">
        <v>9</v>
      </c>
      <c r="D78" t="s">
        <v>99</v>
      </c>
      <c r="E78" t="s">
        <v>161</v>
      </c>
      <c r="F78" t="s">
        <v>54</v>
      </c>
      <c r="G78" t="s">
        <v>13</v>
      </c>
      <c r="H78">
        <v>296.21</v>
      </c>
    </row>
    <row r="79" spans="1:8">
      <c r="A79">
        <v>1055</v>
      </c>
      <c r="B79" t="s">
        <v>162</v>
      </c>
      <c r="C79" t="s">
        <v>57</v>
      </c>
      <c r="D79" t="s">
        <v>90</v>
      </c>
      <c r="E79" t="s">
        <v>23</v>
      </c>
      <c r="F79" t="s">
        <v>45</v>
      </c>
      <c r="G79" t="s">
        <v>13</v>
      </c>
      <c r="H79">
        <v>2976.03</v>
      </c>
    </row>
    <row r="80" spans="1:8">
      <c r="A80">
        <v>1278</v>
      </c>
      <c r="B80" t="s">
        <v>163</v>
      </c>
      <c r="D80" t="s">
        <v>50</v>
      </c>
      <c r="E80" t="s">
        <v>44</v>
      </c>
      <c r="F80" t="s">
        <v>18</v>
      </c>
      <c r="H80">
        <v>770.69</v>
      </c>
    </row>
    <row r="81" spans="1:8">
      <c r="A81">
        <v>1281</v>
      </c>
      <c r="B81" t="s">
        <v>164</v>
      </c>
      <c r="C81" t="s">
        <v>21</v>
      </c>
      <c r="D81" t="s">
        <v>90</v>
      </c>
      <c r="E81" t="s">
        <v>106</v>
      </c>
      <c r="F81" t="s">
        <v>24</v>
      </c>
      <c r="G81" t="s">
        <v>13</v>
      </c>
      <c r="H81">
        <v>292.8</v>
      </c>
    </row>
    <row r="82" spans="1:8">
      <c r="A82">
        <v>1174</v>
      </c>
      <c r="B82" t="s">
        <v>165</v>
      </c>
      <c r="C82" t="s">
        <v>15</v>
      </c>
      <c r="D82" t="s">
        <v>16</v>
      </c>
      <c r="E82" t="s">
        <v>102</v>
      </c>
      <c r="F82" t="s">
        <v>54</v>
      </c>
      <c r="G82" t="s">
        <v>31</v>
      </c>
      <c r="H82">
        <v>1394.97</v>
      </c>
    </row>
    <row r="83" spans="1:8">
      <c r="A83">
        <v>1291</v>
      </c>
      <c r="B83" t="s">
        <v>98</v>
      </c>
      <c r="C83" t="s">
        <v>38</v>
      </c>
      <c r="D83" t="s">
        <v>99</v>
      </c>
      <c r="E83" t="s">
        <v>100</v>
      </c>
      <c r="F83" t="s">
        <v>18</v>
      </c>
      <c r="G83" t="s">
        <v>76</v>
      </c>
      <c r="H83">
        <v>325.83</v>
      </c>
    </row>
    <row r="84" spans="1:8">
      <c r="A84">
        <v>1250</v>
      </c>
      <c r="B84" t="s">
        <v>166</v>
      </c>
      <c r="C84" t="s">
        <v>33</v>
      </c>
      <c r="D84" t="s">
        <v>65</v>
      </c>
      <c r="E84" t="s">
        <v>167</v>
      </c>
      <c r="F84" t="s">
        <v>18</v>
      </c>
      <c r="H84">
        <v>747.49</v>
      </c>
    </row>
    <row r="85" spans="1:8">
      <c r="A85">
        <v>1383</v>
      </c>
      <c r="B85" t="s">
        <v>168</v>
      </c>
      <c r="C85" t="s">
        <v>15</v>
      </c>
      <c r="D85" t="s">
        <v>10</v>
      </c>
      <c r="E85" t="s">
        <v>58</v>
      </c>
      <c r="F85" t="s">
        <v>18</v>
      </c>
      <c r="H85">
        <v>825.16</v>
      </c>
    </row>
    <row r="86" spans="1:8">
      <c r="A86">
        <v>1154</v>
      </c>
      <c r="B86" t="s">
        <v>169</v>
      </c>
      <c r="C86" t="s">
        <v>21</v>
      </c>
      <c r="D86" t="s">
        <v>28</v>
      </c>
      <c r="E86" t="s">
        <v>48</v>
      </c>
      <c r="F86" t="s">
        <v>54</v>
      </c>
      <c r="G86" t="s">
        <v>76</v>
      </c>
      <c r="H86">
        <v>491</v>
      </c>
    </row>
    <row r="87" spans="1:8">
      <c r="A87">
        <v>1155</v>
      </c>
      <c r="B87" t="s">
        <v>170</v>
      </c>
      <c r="C87" t="s">
        <v>57</v>
      </c>
      <c r="D87" t="s">
        <v>10</v>
      </c>
      <c r="E87" t="s">
        <v>74</v>
      </c>
      <c r="F87" t="s">
        <v>30</v>
      </c>
      <c r="G87" t="s">
        <v>36</v>
      </c>
      <c r="H87">
        <v>1856.5</v>
      </c>
    </row>
    <row r="88" spans="1:8">
      <c r="A88">
        <v>1153</v>
      </c>
      <c r="B88" t="s">
        <v>171</v>
      </c>
      <c r="C88" t="s">
        <v>41</v>
      </c>
      <c r="D88" t="s">
        <v>95</v>
      </c>
      <c r="E88" t="s">
        <v>120</v>
      </c>
      <c r="F88" t="s">
        <v>54</v>
      </c>
      <c r="G88" t="s">
        <v>31</v>
      </c>
      <c r="H88">
        <v>284.4</v>
      </c>
    </row>
    <row r="89" spans="1:8">
      <c r="A89">
        <v>1358</v>
      </c>
      <c r="B89" t="s">
        <v>172</v>
      </c>
      <c r="C89" t="s">
        <v>33</v>
      </c>
      <c r="D89" t="s">
        <v>47</v>
      </c>
      <c r="E89" t="s">
        <v>17</v>
      </c>
      <c r="F89" t="s">
        <v>18</v>
      </c>
      <c r="G89" t="s">
        <v>19</v>
      </c>
      <c r="H89">
        <v>2112.9</v>
      </c>
    </row>
    <row r="90" spans="1:8">
      <c r="A90">
        <v>1161</v>
      </c>
      <c r="B90" t="s">
        <v>173</v>
      </c>
      <c r="C90" t="s">
        <v>21</v>
      </c>
      <c r="D90" t="s">
        <v>90</v>
      </c>
      <c r="E90" t="s">
        <v>118</v>
      </c>
      <c r="F90" t="s">
        <v>12</v>
      </c>
      <c r="G90" t="s">
        <v>13</v>
      </c>
      <c r="H90">
        <v>1047.61</v>
      </c>
    </row>
    <row r="91" spans="1:8">
      <c r="A91">
        <v>1317</v>
      </c>
      <c r="B91" t="s">
        <v>174</v>
      </c>
      <c r="C91" t="s">
        <v>57</v>
      </c>
      <c r="D91" t="s">
        <v>50</v>
      </c>
      <c r="E91" t="s">
        <v>69</v>
      </c>
      <c r="F91" t="s">
        <v>24</v>
      </c>
      <c r="G91" t="s">
        <v>31</v>
      </c>
      <c r="H91">
        <v>1007.89</v>
      </c>
    </row>
    <row r="92" spans="1:8">
      <c r="A92">
        <v>1364</v>
      </c>
      <c r="B92" t="s">
        <v>175</v>
      </c>
      <c r="C92" t="s">
        <v>57</v>
      </c>
      <c r="D92" t="s">
        <v>95</v>
      </c>
      <c r="E92" t="s">
        <v>80</v>
      </c>
      <c r="F92" t="s">
        <v>18</v>
      </c>
      <c r="G92" t="s">
        <v>13</v>
      </c>
      <c r="H92">
        <v>1578.29</v>
      </c>
    </row>
    <row r="93" spans="1:8">
      <c r="A93">
        <v>1272</v>
      </c>
      <c r="B93" t="s">
        <v>176</v>
      </c>
      <c r="C93" t="s">
        <v>38</v>
      </c>
      <c r="D93" t="s">
        <v>28</v>
      </c>
      <c r="E93" t="s">
        <v>11</v>
      </c>
      <c r="F93" t="s">
        <v>24</v>
      </c>
      <c r="G93" t="s">
        <v>42</v>
      </c>
      <c r="H93">
        <v>1939.28</v>
      </c>
    </row>
    <row r="94" spans="1:8">
      <c r="A94">
        <v>1265</v>
      </c>
      <c r="B94" t="s">
        <v>177</v>
      </c>
      <c r="C94" t="s">
        <v>33</v>
      </c>
      <c r="D94" t="s">
        <v>90</v>
      </c>
      <c r="E94" t="s">
        <v>161</v>
      </c>
      <c r="F94" t="s">
        <v>12</v>
      </c>
      <c r="G94" t="s">
        <v>31</v>
      </c>
      <c r="H94">
        <v>486.36</v>
      </c>
    </row>
    <row r="95" spans="1:8">
      <c r="A95">
        <v>1082</v>
      </c>
      <c r="B95" t="s">
        <v>178</v>
      </c>
      <c r="C95" t="s">
        <v>15</v>
      </c>
      <c r="D95" t="s">
        <v>16</v>
      </c>
      <c r="E95" t="s">
        <v>72</v>
      </c>
      <c r="F95" t="s">
        <v>45</v>
      </c>
      <c r="G95" t="s">
        <v>31</v>
      </c>
      <c r="H95">
        <v>759.43</v>
      </c>
    </row>
    <row r="96" spans="1:8">
      <c r="A96">
        <v>1053</v>
      </c>
      <c r="B96" t="s">
        <v>179</v>
      </c>
      <c r="C96" t="s">
        <v>15</v>
      </c>
      <c r="D96" t="s">
        <v>50</v>
      </c>
      <c r="E96" t="s">
        <v>61</v>
      </c>
      <c r="F96" t="s">
        <v>24</v>
      </c>
      <c r="G96" t="s">
        <v>19</v>
      </c>
      <c r="H96">
        <v>3060.93</v>
      </c>
    </row>
    <row r="97" spans="1:8">
      <c r="A97">
        <v>1084</v>
      </c>
      <c r="B97" t="s">
        <v>71</v>
      </c>
      <c r="C97" t="s">
        <v>21</v>
      </c>
      <c r="D97" t="s">
        <v>16</v>
      </c>
      <c r="E97" t="s">
        <v>29</v>
      </c>
      <c r="F97" t="s">
        <v>12</v>
      </c>
    </row>
    <row r="98" spans="1:8">
      <c r="A98">
        <v>1361</v>
      </c>
      <c r="B98" t="s">
        <v>180</v>
      </c>
      <c r="C98" t="s">
        <v>38</v>
      </c>
      <c r="D98" t="s">
        <v>95</v>
      </c>
      <c r="E98" t="s">
        <v>82</v>
      </c>
      <c r="F98" t="s">
        <v>24</v>
      </c>
      <c r="G98" t="s">
        <v>42</v>
      </c>
      <c r="H98">
        <v>1632.2</v>
      </c>
    </row>
    <row r="99" spans="1:8">
      <c r="A99">
        <v>1051</v>
      </c>
      <c r="B99" t="s">
        <v>181</v>
      </c>
      <c r="C99" t="s">
        <v>9</v>
      </c>
      <c r="D99" t="s">
        <v>50</v>
      </c>
      <c r="E99" t="s">
        <v>167</v>
      </c>
      <c r="F99" t="s">
        <v>18</v>
      </c>
      <c r="G99" t="s">
        <v>36</v>
      </c>
      <c r="H99">
        <v>293.91</v>
      </c>
    </row>
    <row r="100" spans="1:8">
      <c r="A100">
        <v>1098</v>
      </c>
      <c r="B100" t="s">
        <v>182</v>
      </c>
      <c r="C100" t="s">
        <v>38</v>
      </c>
      <c r="D100" t="s">
        <v>95</v>
      </c>
      <c r="E100" t="s">
        <v>158</v>
      </c>
      <c r="F100" t="s">
        <v>30</v>
      </c>
      <c r="G100" t="s">
        <v>25</v>
      </c>
      <c r="H100">
        <v>2183.72</v>
      </c>
    </row>
    <row r="101" spans="1:8">
      <c r="A101">
        <v>1010</v>
      </c>
      <c r="B101" t="s">
        <v>183</v>
      </c>
      <c r="C101" t="s">
        <v>9</v>
      </c>
      <c r="D101" t="s">
        <v>34</v>
      </c>
      <c r="E101" t="s">
        <v>74</v>
      </c>
      <c r="F101" t="s">
        <v>45</v>
      </c>
      <c r="G101" t="s">
        <v>31</v>
      </c>
      <c r="H101">
        <v>2727.36</v>
      </c>
    </row>
    <row r="102" spans="1:8">
      <c r="A102">
        <v>1357</v>
      </c>
      <c r="B102" t="s">
        <v>184</v>
      </c>
      <c r="C102" t="s">
        <v>27</v>
      </c>
      <c r="D102" t="s">
        <v>47</v>
      </c>
      <c r="E102" t="s">
        <v>144</v>
      </c>
      <c r="F102" t="s">
        <v>24</v>
      </c>
      <c r="H102">
        <v>760.56</v>
      </c>
    </row>
    <row r="103" spans="1:8">
      <c r="A103">
        <v>1240</v>
      </c>
      <c r="B103" t="s">
        <v>185</v>
      </c>
      <c r="C103" t="s">
        <v>15</v>
      </c>
      <c r="D103" t="s">
        <v>47</v>
      </c>
      <c r="E103" t="s">
        <v>29</v>
      </c>
      <c r="F103" t="s">
        <v>24</v>
      </c>
      <c r="G103" t="s">
        <v>31</v>
      </c>
      <c r="H103">
        <v>1572.59</v>
      </c>
    </row>
    <row r="104" spans="1:8">
      <c r="A104">
        <v>1074</v>
      </c>
      <c r="B104" t="s">
        <v>186</v>
      </c>
      <c r="C104" t="s">
        <v>41</v>
      </c>
      <c r="D104" t="s">
        <v>22</v>
      </c>
      <c r="E104" t="s">
        <v>187</v>
      </c>
      <c r="F104" t="s">
        <v>30</v>
      </c>
      <c r="G104" t="s">
        <v>13</v>
      </c>
      <c r="H104">
        <v>809.97</v>
      </c>
    </row>
    <row r="105" spans="1:8">
      <c r="A105">
        <v>1214</v>
      </c>
      <c r="B105" t="s">
        <v>188</v>
      </c>
      <c r="C105" t="s">
        <v>15</v>
      </c>
      <c r="D105" t="s">
        <v>95</v>
      </c>
      <c r="E105" t="s">
        <v>187</v>
      </c>
      <c r="F105" t="s">
        <v>45</v>
      </c>
      <c r="G105" t="s">
        <v>13</v>
      </c>
      <c r="H105">
        <v>309.93</v>
      </c>
    </row>
    <row r="106" spans="1:8">
      <c r="A106">
        <v>1197</v>
      </c>
      <c r="B106" t="s">
        <v>8</v>
      </c>
      <c r="C106" t="s">
        <v>21</v>
      </c>
      <c r="D106" t="s">
        <v>16</v>
      </c>
      <c r="E106" t="s">
        <v>167</v>
      </c>
      <c r="F106" t="s">
        <v>12</v>
      </c>
      <c r="G106" t="s">
        <v>13</v>
      </c>
      <c r="H106">
        <v>305.92</v>
      </c>
    </row>
    <row r="107" spans="1:8">
      <c r="A107">
        <v>1286</v>
      </c>
      <c r="B107" t="s">
        <v>189</v>
      </c>
      <c r="C107" t="s">
        <v>9</v>
      </c>
      <c r="D107" t="s">
        <v>90</v>
      </c>
      <c r="E107" t="s">
        <v>129</v>
      </c>
      <c r="F107" t="s">
        <v>54</v>
      </c>
      <c r="G107" t="s">
        <v>13</v>
      </c>
      <c r="H107">
        <v>2772.97</v>
      </c>
    </row>
    <row r="108" spans="1:8">
      <c r="A108">
        <v>1262</v>
      </c>
      <c r="B108" t="s">
        <v>190</v>
      </c>
      <c r="C108" t="s">
        <v>57</v>
      </c>
      <c r="D108" t="s">
        <v>47</v>
      </c>
      <c r="E108" t="s">
        <v>11</v>
      </c>
      <c r="F108" t="s">
        <v>18</v>
      </c>
      <c r="G108" t="s">
        <v>25</v>
      </c>
      <c r="H108">
        <v>3121.22</v>
      </c>
    </row>
    <row r="109" spans="1:8">
      <c r="A109">
        <v>1023</v>
      </c>
      <c r="B109" t="s">
        <v>191</v>
      </c>
      <c r="C109" t="s">
        <v>21</v>
      </c>
      <c r="D109" t="s">
        <v>95</v>
      </c>
      <c r="E109" t="s">
        <v>91</v>
      </c>
      <c r="F109" t="s">
        <v>45</v>
      </c>
      <c r="G109" t="s">
        <v>19</v>
      </c>
      <c r="H109">
        <v>2086.32</v>
      </c>
    </row>
    <row r="110" spans="1:8">
      <c r="A110">
        <v>1244</v>
      </c>
      <c r="B110" t="s">
        <v>192</v>
      </c>
      <c r="C110" t="s">
        <v>38</v>
      </c>
      <c r="D110" t="s">
        <v>99</v>
      </c>
      <c r="E110" t="s">
        <v>48</v>
      </c>
      <c r="F110" t="s">
        <v>45</v>
      </c>
      <c r="G110" t="s">
        <v>31</v>
      </c>
      <c r="H110">
        <v>2860.91</v>
      </c>
    </row>
    <row r="111" spans="1:8">
      <c r="A111">
        <v>1136</v>
      </c>
      <c r="B111" t="s">
        <v>193</v>
      </c>
      <c r="C111" t="s">
        <v>41</v>
      </c>
      <c r="D111" t="s">
        <v>10</v>
      </c>
      <c r="E111" t="s">
        <v>194</v>
      </c>
      <c r="F111" t="s">
        <v>30</v>
      </c>
      <c r="G111" t="s">
        <v>42</v>
      </c>
      <c r="H111">
        <v>857.21</v>
      </c>
    </row>
    <row r="112" spans="1:8">
      <c r="A112">
        <v>1146</v>
      </c>
      <c r="B112" t="s">
        <v>195</v>
      </c>
      <c r="C112" t="s">
        <v>33</v>
      </c>
      <c r="D112" t="s">
        <v>65</v>
      </c>
      <c r="E112" t="s">
        <v>29</v>
      </c>
      <c r="F112" t="s">
        <v>30</v>
      </c>
      <c r="G112" t="s">
        <v>13</v>
      </c>
      <c r="H112">
        <v>465.29</v>
      </c>
    </row>
    <row r="113" spans="1:8">
      <c r="A113">
        <v>1395</v>
      </c>
      <c r="B113" t="s">
        <v>196</v>
      </c>
      <c r="C113" t="s">
        <v>9</v>
      </c>
      <c r="D113" t="s">
        <v>65</v>
      </c>
      <c r="E113" t="s">
        <v>17</v>
      </c>
      <c r="F113" t="s">
        <v>12</v>
      </c>
      <c r="G113" t="s">
        <v>31</v>
      </c>
      <c r="H113">
        <v>1852.14</v>
      </c>
    </row>
    <row r="114" spans="1:8">
      <c r="A114">
        <v>1255</v>
      </c>
      <c r="B114" t="s">
        <v>43</v>
      </c>
      <c r="C114" t="s">
        <v>9</v>
      </c>
      <c r="D114" t="s">
        <v>10</v>
      </c>
      <c r="E114" t="s">
        <v>53</v>
      </c>
      <c r="F114" t="s">
        <v>12</v>
      </c>
      <c r="G114" t="s">
        <v>13</v>
      </c>
      <c r="H114">
        <v>2044.05</v>
      </c>
    </row>
    <row r="115" spans="1:8">
      <c r="A115">
        <v>1210</v>
      </c>
      <c r="B115" t="s">
        <v>197</v>
      </c>
      <c r="C115" t="s">
        <v>33</v>
      </c>
      <c r="D115" t="s">
        <v>16</v>
      </c>
      <c r="E115" t="s">
        <v>198</v>
      </c>
      <c r="F115" t="s">
        <v>54</v>
      </c>
      <c r="G115" t="s">
        <v>36</v>
      </c>
      <c r="H115">
        <v>2032.24</v>
      </c>
    </row>
    <row r="116" spans="1:8">
      <c r="A116">
        <v>1059</v>
      </c>
      <c r="B116" t="s">
        <v>199</v>
      </c>
      <c r="C116" t="s">
        <v>27</v>
      </c>
      <c r="D116" t="s">
        <v>65</v>
      </c>
      <c r="E116" t="s">
        <v>200</v>
      </c>
      <c r="F116" t="s">
        <v>24</v>
      </c>
      <c r="G116" t="s">
        <v>31</v>
      </c>
      <c r="H116">
        <v>3190.52</v>
      </c>
    </row>
    <row r="117" spans="1:8">
      <c r="A117">
        <v>1050</v>
      </c>
      <c r="B117" t="s">
        <v>201</v>
      </c>
      <c r="C117" t="s">
        <v>9</v>
      </c>
      <c r="D117" t="s">
        <v>22</v>
      </c>
      <c r="E117" t="s">
        <v>198</v>
      </c>
      <c r="F117" t="s">
        <v>54</v>
      </c>
      <c r="G117" t="s">
        <v>25</v>
      </c>
      <c r="H117">
        <v>476.22</v>
      </c>
    </row>
    <row r="118" spans="1:8">
      <c r="A118">
        <v>1038</v>
      </c>
      <c r="B118" t="s">
        <v>202</v>
      </c>
      <c r="C118" t="s">
        <v>15</v>
      </c>
      <c r="D118" t="s">
        <v>10</v>
      </c>
      <c r="E118" t="s">
        <v>203</v>
      </c>
      <c r="F118" t="s">
        <v>30</v>
      </c>
      <c r="G118" t="s">
        <v>31</v>
      </c>
      <c r="H118">
        <v>276</v>
      </c>
    </row>
    <row r="119" spans="1:8">
      <c r="A119">
        <v>1239</v>
      </c>
      <c r="B119" t="s">
        <v>204</v>
      </c>
      <c r="C119" t="s">
        <v>27</v>
      </c>
      <c r="D119" t="s">
        <v>47</v>
      </c>
      <c r="E119" t="s">
        <v>44</v>
      </c>
      <c r="F119" t="s">
        <v>45</v>
      </c>
      <c r="G119" t="s">
        <v>31</v>
      </c>
      <c r="H119">
        <v>745.06</v>
      </c>
    </row>
    <row r="120" spans="1:8">
      <c r="A120">
        <v>1166</v>
      </c>
      <c r="B120" t="s">
        <v>205</v>
      </c>
      <c r="C120" t="s">
        <v>38</v>
      </c>
      <c r="D120" t="s">
        <v>28</v>
      </c>
      <c r="E120" t="s">
        <v>39</v>
      </c>
      <c r="F120" t="s">
        <v>24</v>
      </c>
      <c r="G120" t="s">
        <v>31</v>
      </c>
      <c r="H120">
        <v>780.28</v>
      </c>
    </row>
    <row r="121" spans="1:8">
      <c r="A121">
        <v>1157</v>
      </c>
      <c r="B121" t="s">
        <v>206</v>
      </c>
      <c r="C121" t="s">
        <v>15</v>
      </c>
      <c r="D121" t="s">
        <v>95</v>
      </c>
      <c r="E121" t="s">
        <v>72</v>
      </c>
      <c r="F121" t="s">
        <v>24</v>
      </c>
      <c r="G121" t="s">
        <v>13</v>
      </c>
    </row>
    <row r="122" spans="1:8">
      <c r="A122">
        <v>1080</v>
      </c>
      <c r="B122" t="s">
        <v>207</v>
      </c>
      <c r="C122" t="s">
        <v>57</v>
      </c>
      <c r="D122" t="s">
        <v>34</v>
      </c>
      <c r="E122" t="s">
        <v>141</v>
      </c>
      <c r="F122" t="s">
        <v>30</v>
      </c>
      <c r="H122">
        <v>748.1</v>
      </c>
    </row>
    <row r="123" spans="1:8">
      <c r="A123">
        <v>1251</v>
      </c>
      <c r="B123" t="s">
        <v>208</v>
      </c>
      <c r="C123" t="s">
        <v>33</v>
      </c>
      <c r="D123" t="s">
        <v>50</v>
      </c>
      <c r="E123" t="s">
        <v>80</v>
      </c>
      <c r="F123" t="s">
        <v>45</v>
      </c>
      <c r="G123" t="s">
        <v>31</v>
      </c>
      <c r="H123">
        <v>324.84</v>
      </c>
    </row>
    <row r="124" spans="1:8">
      <c r="A124">
        <v>1227</v>
      </c>
      <c r="B124" t="s">
        <v>209</v>
      </c>
      <c r="C124" t="s">
        <v>21</v>
      </c>
      <c r="D124" t="s">
        <v>60</v>
      </c>
      <c r="E124" t="s">
        <v>74</v>
      </c>
      <c r="F124" t="s">
        <v>45</v>
      </c>
      <c r="H124">
        <v>317.11</v>
      </c>
    </row>
    <row r="125" spans="1:8">
      <c r="A125">
        <v>1269</v>
      </c>
      <c r="B125" t="s">
        <v>210</v>
      </c>
      <c r="C125" t="s">
        <v>38</v>
      </c>
      <c r="D125" t="s">
        <v>65</v>
      </c>
      <c r="E125" t="s">
        <v>144</v>
      </c>
      <c r="F125" t="s">
        <v>18</v>
      </c>
      <c r="G125" t="s">
        <v>25</v>
      </c>
      <c r="H125">
        <v>285.54</v>
      </c>
    </row>
    <row r="126" spans="1:8">
      <c r="A126">
        <v>1005</v>
      </c>
      <c r="B126" t="s">
        <v>211</v>
      </c>
      <c r="C126" t="s">
        <v>38</v>
      </c>
      <c r="D126" t="s">
        <v>28</v>
      </c>
      <c r="E126" t="s">
        <v>187</v>
      </c>
      <c r="F126" t="s">
        <v>54</v>
      </c>
      <c r="G126" t="s">
        <v>13</v>
      </c>
      <c r="H126">
        <v>791.55</v>
      </c>
    </row>
    <row r="127" spans="1:8">
      <c r="A127">
        <v>1075</v>
      </c>
      <c r="B127" t="s">
        <v>212</v>
      </c>
      <c r="C127" t="s">
        <v>9</v>
      </c>
      <c r="D127" t="s">
        <v>22</v>
      </c>
      <c r="E127" t="s">
        <v>53</v>
      </c>
      <c r="F127" t="s">
        <v>54</v>
      </c>
      <c r="G127" t="s">
        <v>55</v>
      </c>
      <c r="H127">
        <v>466.45</v>
      </c>
    </row>
    <row r="128" spans="1:8">
      <c r="A128">
        <v>1014</v>
      </c>
      <c r="B128" t="s">
        <v>213</v>
      </c>
      <c r="C128" t="s">
        <v>41</v>
      </c>
      <c r="D128" t="s">
        <v>99</v>
      </c>
      <c r="E128" t="s">
        <v>104</v>
      </c>
      <c r="F128" t="s">
        <v>12</v>
      </c>
      <c r="G128" t="s">
        <v>25</v>
      </c>
      <c r="H128">
        <v>454.88</v>
      </c>
    </row>
    <row r="129" spans="1:8">
      <c r="A129">
        <v>1394</v>
      </c>
      <c r="B129" t="s">
        <v>214</v>
      </c>
      <c r="C129" t="s">
        <v>15</v>
      </c>
      <c r="D129" t="s">
        <v>65</v>
      </c>
      <c r="E129" t="s">
        <v>167</v>
      </c>
      <c r="F129" t="s">
        <v>24</v>
      </c>
      <c r="G129" t="s">
        <v>19</v>
      </c>
      <c r="H129">
        <v>853.82</v>
      </c>
    </row>
    <row r="130" spans="1:8">
      <c r="A130">
        <v>1047</v>
      </c>
      <c r="B130" t="s">
        <v>215</v>
      </c>
      <c r="C130" t="s">
        <v>38</v>
      </c>
      <c r="D130" t="s">
        <v>50</v>
      </c>
      <c r="E130" t="s">
        <v>86</v>
      </c>
      <c r="F130" t="s">
        <v>18</v>
      </c>
      <c r="G130" t="s">
        <v>19</v>
      </c>
      <c r="H130">
        <v>909.13</v>
      </c>
    </row>
    <row r="131" spans="1:8">
      <c r="A131">
        <v>1046</v>
      </c>
      <c r="B131" t="s">
        <v>216</v>
      </c>
      <c r="C131" t="s">
        <v>41</v>
      </c>
      <c r="D131" t="s">
        <v>50</v>
      </c>
      <c r="E131" t="s">
        <v>84</v>
      </c>
      <c r="F131" t="s">
        <v>24</v>
      </c>
      <c r="G131" t="s">
        <v>42</v>
      </c>
      <c r="H131">
        <v>520.79</v>
      </c>
    </row>
    <row r="132" spans="1:8">
      <c r="A132">
        <v>1070</v>
      </c>
      <c r="B132" t="s">
        <v>217</v>
      </c>
      <c r="D132" t="s">
        <v>60</v>
      </c>
      <c r="E132" t="s">
        <v>97</v>
      </c>
      <c r="F132" t="s">
        <v>12</v>
      </c>
      <c r="G132" t="s">
        <v>76</v>
      </c>
      <c r="H132">
        <v>2012.65</v>
      </c>
    </row>
    <row r="133" spans="1:8">
      <c r="A133">
        <v>1372</v>
      </c>
      <c r="B133" t="s">
        <v>146</v>
      </c>
      <c r="C133" t="s">
        <v>15</v>
      </c>
      <c r="D133" t="s">
        <v>10</v>
      </c>
      <c r="E133" t="s">
        <v>147</v>
      </c>
      <c r="F133" t="s">
        <v>24</v>
      </c>
      <c r="G133" t="s">
        <v>19</v>
      </c>
      <c r="H133">
        <v>818.62</v>
      </c>
    </row>
    <row r="134" spans="1:8">
      <c r="A134">
        <v>1079</v>
      </c>
      <c r="B134" t="s">
        <v>218</v>
      </c>
      <c r="C134" t="s">
        <v>57</v>
      </c>
      <c r="D134" t="s">
        <v>50</v>
      </c>
      <c r="E134" t="s">
        <v>78</v>
      </c>
      <c r="F134" t="s">
        <v>12</v>
      </c>
      <c r="G134" t="s">
        <v>42</v>
      </c>
      <c r="H134">
        <v>723.23</v>
      </c>
    </row>
    <row r="135" spans="1:8">
      <c r="A135">
        <v>1030</v>
      </c>
      <c r="B135" t="s">
        <v>219</v>
      </c>
      <c r="C135" t="s">
        <v>27</v>
      </c>
      <c r="D135" t="s">
        <v>22</v>
      </c>
      <c r="E135" t="s">
        <v>104</v>
      </c>
      <c r="F135" t="s">
        <v>54</v>
      </c>
      <c r="G135" t="s">
        <v>19</v>
      </c>
      <c r="H135">
        <v>476.28</v>
      </c>
    </row>
    <row r="136" spans="1:8">
      <c r="A136">
        <v>1231</v>
      </c>
      <c r="B136" t="s">
        <v>210</v>
      </c>
      <c r="C136" t="s">
        <v>57</v>
      </c>
      <c r="D136" t="s">
        <v>16</v>
      </c>
      <c r="E136" t="s">
        <v>72</v>
      </c>
      <c r="F136" t="s">
        <v>54</v>
      </c>
      <c r="G136" t="s">
        <v>76</v>
      </c>
      <c r="H136">
        <v>2702.93</v>
      </c>
    </row>
    <row r="137" spans="1:8">
      <c r="A137">
        <v>1196</v>
      </c>
      <c r="B137" t="s">
        <v>220</v>
      </c>
      <c r="C137" t="s">
        <v>27</v>
      </c>
      <c r="D137" t="s">
        <v>22</v>
      </c>
      <c r="E137" t="s">
        <v>72</v>
      </c>
      <c r="F137" t="s">
        <v>12</v>
      </c>
      <c r="G137" t="s">
        <v>31</v>
      </c>
      <c r="H137">
        <v>866.76</v>
      </c>
    </row>
    <row r="138" spans="1:8">
      <c r="A138">
        <v>1365</v>
      </c>
      <c r="B138" t="s">
        <v>221</v>
      </c>
      <c r="C138" t="s">
        <v>15</v>
      </c>
      <c r="D138" t="s">
        <v>10</v>
      </c>
      <c r="E138" t="s">
        <v>125</v>
      </c>
      <c r="F138" t="s">
        <v>45</v>
      </c>
      <c r="G138" t="s">
        <v>13</v>
      </c>
    </row>
    <row r="139" spans="1:8">
      <c r="A139">
        <v>1115</v>
      </c>
      <c r="B139" t="s">
        <v>222</v>
      </c>
      <c r="C139" t="s">
        <v>38</v>
      </c>
      <c r="D139" t="s">
        <v>95</v>
      </c>
      <c r="E139" t="s">
        <v>198</v>
      </c>
      <c r="F139" t="s">
        <v>12</v>
      </c>
      <c r="G139" t="s">
        <v>19</v>
      </c>
      <c r="H139">
        <v>1381.79</v>
      </c>
    </row>
    <row r="140" spans="1:8">
      <c r="A140">
        <v>1025</v>
      </c>
      <c r="B140" t="s">
        <v>223</v>
      </c>
      <c r="C140" t="s">
        <v>27</v>
      </c>
      <c r="D140" t="s">
        <v>90</v>
      </c>
      <c r="E140" t="s">
        <v>200</v>
      </c>
      <c r="F140" t="s">
        <v>54</v>
      </c>
      <c r="G140" t="s">
        <v>36</v>
      </c>
      <c r="H140">
        <v>923.05</v>
      </c>
    </row>
    <row r="141" spans="1:8">
      <c r="A141">
        <v>1065</v>
      </c>
      <c r="B141" t="s">
        <v>224</v>
      </c>
      <c r="C141" t="s">
        <v>21</v>
      </c>
      <c r="D141" t="s">
        <v>60</v>
      </c>
      <c r="E141" t="s">
        <v>80</v>
      </c>
      <c r="F141" t="s">
        <v>30</v>
      </c>
      <c r="G141" t="s">
        <v>25</v>
      </c>
      <c r="H141">
        <v>1352.14</v>
      </c>
    </row>
    <row r="142" spans="1:8">
      <c r="A142">
        <v>1247</v>
      </c>
      <c r="B142" t="s">
        <v>225</v>
      </c>
      <c r="C142" t="s">
        <v>21</v>
      </c>
      <c r="D142" t="s">
        <v>22</v>
      </c>
      <c r="E142" t="s">
        <v>226</v>
      </c>
      <c r="F142" t="s">
        <v>18</v>
      </c>
      <c r="G142" t="s">
        <v>31</v>
      </c>
      <c r="H142">
        <v>492.48</v>
      </c>
    </row>
    <row r="143" spans="1:8">
      <c r="A143">
        <v>1334</v>
      </c>
      <c r="B143" t="s">
        <v>227</v>
      </c>
      <c r="C143" t="s">
        <v>21</v>
      </c>
      <c r="D143" t="s">
        <v>28</v>
      </c>
      <c r="E143" t="s">
        <v>147</v>
      </c>
      <c r="F143" t="s">
        <v>54</v>
      </c>
      <c r="G143" t="s">
        <v>13</v>
      </c>
      <c r="H143">
        <v>1513.89</v>
      </c>
    </row>
    <row r="144" spans="1:8">
      <c r="A144">
        <v>1186</v>
      </c>
      <c r="B144" t="s">
        <v>228</v>
      </c>
      <c r="C144" t="s">
        <v>38</v>
      </c>
      <c r="D144" t="s">
        <v>50</v>
      </c>
      <c r="E144" t="s">
        <v>106</v>
      </c>
      <c r="F144" t="s">
        <v>12</v>
      </c>
      <c r="G144" t="s">
        <v>19</v>
      </c>
      <c r="H144">
        <v>839.74</v>
      </c>
    </row>
    <row r="145" spans="1:8">
      <c r="A145">
        <v>1191</v>
      </c>
      <c r="B145" t="s">
        <v>229</v>
      </c>
      <c r="C145" t="s">
        <v>9</v>
      </c>
      <c r="D145" t="s">
        <v>99</v>
      </c>
      <c r="E145" t="s">
        <v>230</v>
      </c>
      <c r="F145" t="s">
        <v>24</v>
      </c>
      <c r="G145" t="s">
        <v>31</v>
      </c>
      <c r="H145">
        <v>450.99</v>
      </c>
    </row>
    <row r="146" spans="1:8">
      <c r="A146">
        <v>1125</v>
      </c>
      <c r="B146" t="s">
        <v>231</v>
      </c>
      <c r="C146" t="s">
        <v>27</v>
      </c>
      <c r="D146" t="s">
        <v>47</v>
      </c>
      <c r="E146" t="s">
        <v>232</v>
      </c>
      <c r="F146" t="s">
        <v>54</v>
      </c>
      <c r="G146" t="s">
        <v>31</v>
      </c>
      <c r="H146">
        <v>2011.19</v>
      </c>
    </row>
    <row r="147" spans="1:8">
      <c r="A147">
        <v>1068</v>
      </c>
      <c r="B147" t="s">
        <v>233</v>
      </c>
      <c r="C147" t="s">
        <v>21</v>
      </c>
      <c r="D147" t="s">
        <v>22</v>
      </c>
      <c r="E147" t="s">
        <v>86</v>
      </c>
      <c r="F147" t="s">
        <v>54</v>
      </c>
      <c r="G147" t="s">
        <v>36</v>
      </c>
      <c r="H147">
        <v>738.2</v>
      </c>
    </row>
    <row r="148" spans="1:8">
      <c r="A148">
        <v>1374</v>
      </c>
      <c r="B148" t="s">
        <v>234</v>
      </c>
      <c r="C148" t="s">
        <v>15</v>
      </c>
      <c r="D148" t="s">
        <v>22</v>
      </c>
      <c r="E148" t="s">
        <v>235</v>
      </c>
      <c r="F148" t="s">
        <v>54</v>
      </c>
      <c r="G148" t="s">
        <v>19</v>
      </c>
      <c r="H148">
        <v>1080.99</v>
      </c>
    </row>
    <row r="149" spans="1:8">
      <c r="A149">
        <v>1077</v>
      </c>
      <c r="B149" t="s">
        <v>236</v>
      </c>
      <c r="C149" t="s">
        <v>15</v>
      </c>
      <c r="D149" t="s">
        <v>90</v>
      </c>
      <c r="E149" t="s">
        <v>61</v>
      </c>
      <c r="F149" t="s">
        <v>18</v>
      </c>
      <c r="G149" t="s">
        <v>13</v>
      </c>
      <c r="H149">
        <v>851.2</v>
      </c>
    </row>
    <row r="150" spans="1:8">
      <c r="A150">
        <v>1238</v>
      </c>
      <c r="B150" t="s">
        <v>237</v>
      </c>
      <c r="C150" t="s">
        <v>57</v>
      </c>
      <c r="D150" t="s">
        <v>90</v>
      </c>
      <c r="E150" t="s">
        <v>238</v>
      </c>
      <c r="F150" t="s">
        <v>12</v>
      </c>
      <c r="G150" t="s">
        <v>19</v>
      </c>
      <c r="H150">
        <v>1546.4</v>
      </c>
    </row>
    <row r="151" spans="1:8">
      <c r="A151">
        <v>1224</v>
      </c>
      <c r="B151" t="s">
        <v>239</v>
      </c>
      <c r="C151" t="s">
        <v>21</v>
      </c>
      <c r="D151" t="s">
        <v>50</v>
      </c>
      <c r="E151" t="s">
        <v>238</v>
      </c>
      <c r="F151" t="s">
        <v>30</v>
      </c>
      <c r="G151" t="s">
        <v>42</v>
      </c>
      <c r="H151">
        <v>321.34</v>
      </c>
    </row>
    <row r="152" spans="1:8">
      <c r="A152">
        <v>1218</v>
      </c>
      <c r="B152" t="s">
        <v>240</v>
      </c>
      <c r="C152" t="s">
        <v>57</v>
      </c>
      <c r="D152" t="s">
        <v>50</v>
      </c>
      <c r="E152" t="s">
        <v>198</v>
      </c>
      <c r="F152" t="s">
        <v>18</v>
      </c>
      <c r="G152" t="s">
        <v>19</v>
      </c>
      <c r="H152">
        <v>524.39</v>
      </c>
    </row>
    <row r="153" spans="1:8">
      <c r="A153">
        <v>1058</v>
      </c>
      <c r="B153" t="s">
        <v>241</v>
      </c>
      <c r="C153" t="s">
        <v>57</v>
      </c>
      <c r="D153" t="s">
        <v>65</v>
      </c>
      <c r="E153" t="s">
        <v>242</v>
      </c>
      <c r="F153" t="s">
        <v>18</v>
      </c>
      <c r="G153" t="s">
        <v>13</v>
      </c>
      <c r="H153">
        <v>1032.86</v>
      </c>
    </row>
    <row r="154" spans="1:8">
      <c r="A154">
        <v>1125</v>
      </c>
      <c r="B154" t="s">
        <v>231</v>
      </c>
      <c r="C154" t="s">
        <v>27</v>
      </c>
      <c r="D154" t="s">
        <v>47</v>
      </c>
      <c r="E154" t="s">
        <v>232</v>
      </c>
      <c r="F154" t="s">
        <v>54</v>
      </c>
      <c r="G154" t="s">
        <v>31</v>
      </c>
      <c r="H154">
        <v>2011.19</v>
      </c>
    </row>
    <row r="155" spans="1:8">
      <c r="A155">
        <v>1042</v>
      </c>
      <c r="B155" t="s">
        <v>111</v>
      </c>
      <c r="C155" t="s">
        <v>15</v>
      </c>
      <c r="D155" t="s">
        <v>60</v>
      </c>
      <c r="E155" t="s">
        <v>243</v>
      </c>
      <c r="F155" t="s">
        <v>24</v>
      </c>
      <c r="G155" t="s">
        <v>25</v>
      </c>
      <c r="H155">
        <v>1387.26</v>
      </c>
    </row>
    <row r="156" spans="1:8">
      <c r="A156">
        <v>1004</v>
      </c>
      <c r="B156" t="s">
        <v>244</v>
      </c>
      <c r="C156" t="s">
        <v>38</v>
      </c>
      <c r="D156" t="s">
        <v>16</v>
      </c>
      <c r="E156" t="s">
        <v>91</v>
      </c>
      <c r="F156" t="s">
        <v>24</v>
      </c>
      <c r="G156" t="s">
        <v>42</v>
      </c>
      <c r="H156">
        <v>2916.01</v>
      </c>
    </row>
    <row r="157" spans="1:8">
      <c r="A157">
        <v>1121</v>
      </c>
      <c r="B157" t="s">
        <v>245</v>
      </c>
      <c r="C157" t="s">
        <v>57</v>
      </c>
      <c r="D157" t="s">
        <v>65</v>
      </c>
      <c r="E157" t="s">
        <v>115</v>
      </c>
      <c r="F157" t="s">
        <v>30</v>
      </c>
      <c r="G157" t="s">
        <v>31</v>
      </c>
      <c r="H157">
        <v>1847.97</v>
      </c>
    </row>
    <row r="158" spans="1:8">
      <c r="A158">
        <v>1189</v>
      </c>
      <c r="B158" t="s">
        <v>246</v>
      </c>
      <c r="C158" t="s">
        <v>21</v>
      </c>
      <c r="D158" t="s">
        <v>95</v>
      </c>
      <c r="E158" t="s">
        <v>44</v>
      </c>
      <c r="F158" t="s">
        <v>54</v>
      </c>
      <c r="G158" t="s">
        <v>31</v>
      </c>
      <c r="H158">
        <v>826.77</v>
      </c>
    </row>
    <row r="159" spans="1:8">
      <c r="A159">
        <v>1229</v>
      </c>
      <c r="B159" t="s">
        <v>247</v>
      </c>
      <c r="C159" t="s">
        <v>27</v>
      </c>
      <c r="D159" t="s">
        <v>28</v>
      </c>
      <c r="E159" t="s">
        <v>248</v>
      </c>
      <c r="F159" t="s">
        <v>18</v>
      </c>
      <c r="G159" t="s">
        <v>13</v>
      </c>
      <c r="H159">
        <v>1598.94</v>
      </c>
    </row>
    <row r="160" spans="1:8">
      <c r="A160">
        <v>1179</v>
      </c>
      <c r="B160" t="s">
        <v>133</v>
      </c>
      <c r="C160" t="s">
        <v>41</v>
      </c>
      <c r="D160" t="s">
        <v>50</v>
      </c>
      <c r="E160" t="s">
        <v>141</v>
      </c>
      <c r="F160" t="s">
        <v>45</v>
      </c>
      <c r="G160" t="s">
        <v>36</v>
      </c>
      <c r="H160">
        <v>816.04</v>
      </c>
    </row>
    <row r="161" spans="1:8">
      <c r="A161">
        <v>1268</v>
      </c>
      <c r="B161" t="s">
        <v>249</v>
      </c>
      <c r="C161" t="s">
        <v>15</v>
      </c>
      <c r="D161" t="s">
        <v>16</v>
      </c>
      <c r="E161" t="s">
        <v>74</v>
      </c>
      <c r="F161" t="s">
        <v>24</v>
      </c>
      <c r="H161">
        <v>1035.9</v>
      </c>
    </row>
    <row r="162" spans="1:8">
      <c r="A162">
        <v>1109</v>
      </c>
      <c r="B162" t="s">
        <v>130</v>
      </c>
      <c r="C162" t="s">
        <v>15</v>
      </c>
      <c r="D162" t="s">
        <v>10</v>
      </c>
      <c r="E162" t="s">
        <v>147</v>
      </c>
      <c r="F162" t="s">
        <v>45</v>
      </c>
      <c r="G162" t="s">
        <v>42</v>
      </c>
      <c r="H162">
        <v>1086.72</v>
      </c>
    </row>
    <row r="163" spans="1:8">
      <c r="A163">
        <v>1118</v>
      </c>
      <c r="B163" t="s">
        <v>250</v>
      </c>
      <c r="C163" t="s">
        <v>21</v>
      </c>
      <c r="D163" t="s">
        <v>95</v>
      </c>
      <c r="E163" t="s">
        <v>74</v>
      </c>
      <c r="F163" t="s">
        <v>30</v>
      </c>
      <c r="G163" t="s">
        <v>13</v>
      </c>
      <c r="H163">
        <v>316.53</v>
      </c>
    </row>
    <row r="164" spans="1:8">
      <c r="A164">
        <v>1254</v>
      </c>
      <c r="B164" t="s">
        <v>251</v>
      </c>
      <c r="C164" t="s">
        <v>15</v>
      </c>
      <c r="D164" t="s">
        <v>16</v>
      </c>
      <c r="E164" t="s">
        <v>74</v>
      </c>
      <c r="F164" t="s">
        <v>24</v>
      </c>
      <c r="G164" t="s">
        <v>13</v>
      </c>
      <c r="H164">
        <v>1360.12</v>
      </c>
    </row>
    <row r="165" spans="1:8">
      <c r="A165">
        <v>1370</v>
      </c>
      <c r="B165" t="s">
        <v>252</v>
      </c>
      <c r="C165" t="s">
        <v>21</v>
      </c>
      <c r="D165" t="s">
        <v>16</v>
      </c>
      <c r="E165" t="s">
        <v>120</v>
      </c>
      <c r="F165" t="s">
        <v>54</v>
      </c>
      <c r="G165" t="s">
        <v>55</v>
      </c>
      <c r="H165">
        <v>308.69</v>
      </c>
    </row>
    <row r="166" spans="1:8">
      <c r="A166">
        <v>1006</v>
      </c>
      <c r="B166" t="s">
        <v>253</v>
      </c>
      <c r="C166" t="s">
        <v>21</v>
      </c>
      <c r="D166" t="s">
        <v>47</v>
      </c>
      <c r="E166" t="s">
        <v>194</v>
      </c>
      <c r="F166" t="s">
        <v>24</v>
      </c>
      <c r="G166" t="s">
        <v>31</v>
      </c>
      <c r="H166">
        <v>1539.47</v>
      </c>
    </row>
    <row r="167" spans="1:8">
      <c r="A167">
        <v>1298</v>
      </c>
      <c r="B167" t="s">
        <v>254</v>
      </c>
      <c r="C167" t="s">
        <v>27</v>
      </c>
      <c r="D167" t="s">
        <v>22</v>
      </c>
      <c r="E167" t="s">
        <v>39</v>
      </c>
      <c r="F167" t="s">
        <v>54</v>
      </c>
      <c r="G167" t="s">
        <v>42</v>
      </c>
      <c r="H167">
        <v>2088.07</v>
      </c>
    </row>
    <row r="168" spans="1:8">
      <c r="A168">
        <v>1201</v>
      </c>
      <c r="B168" t="s">
        <v>255</v>
      </c>
      <c r="C168" t="s">
        <v>57</v>
      </c>
      <c r="D168" t="s">
        <v>22</v>
      </c>
      <c r="E168" t="s">
        <v>230</v>
      </c>
      <c r="F168" t="s">
        <v>30</v>
      </c>
      <c r="G168" t="s">
        <v>31</v>
      </c>
      <c r="H168">
        <v>764.57</v>
      </c>
    </row>
    <row r="169" spans="1:8">
      <c r="A169">
        <v>1185</v>
      </c>
      <c r="B169" t="s">
        <v>71</v>
      </c>
      <c r="C169" t="s">
        <v>33</v>
      </c>
      <c r="D169" t="s">
        <v>16</v>
      </c>
      <c r="E169" t="s">
        <v>91</v>
      </c>
      <c r="F169" t="s">
        <v>54</v>
      </c>
      <c r="G169" t="s">
        <v>13</v>
      </c>
      <c r="H169">
        <v>1484.12</v>
      </c>
    </row>
    <row r="170" spans="1:8">
      <c r="A170">
        <v>1330</v>
      </c>
      <c r="B170" t="s">
        <v>193</v>
      </c>
      <c r="D170" t="s">
        <v>16</v>
      </c>
      <c r="E170" t="s">
        <v>256</v>
      </c>
      <c r="F170" t="s">
        <v>54</v>
      </c>
      <c r="H170">
        <v>3217.36</v>
      </c>
    </row>
    <row r="171" spans="1:8">
      <c r="A171">
        <v>1190</v>
      </c>
      <c r="B171" t="s">
        <v>162</v>
      </c>
      <c r="C171" t="s">
        <v>21</v>
      </c>
      <c r="D171" t="s">
        <v>10</v>
      </c>
      <c r="E171" t="s">
        <v>69</v>
      </c>
      <c r="F171" t="s">
        <v>30</v>
      </c>
      <c r="G171" t="s">
        <v>42</v>
      </c>
      <c r="H171">
        <v>521.1</v>
      </c>
    </row>
    <row r="172" spans="1:8">
      <c r="A172">
        <v>1328</v>
      </c>
      <c r="B172" t="s">
        <v>257</v>
      </c>
      <c r="C172" t="s">
        <v>33</v>
      </c>
      <c r="D172" t="s">
        <v>34</v>
      </c>
      <c r="E172" t="s">
        <v>232</v>
      </c>
      <c r="F172" t="s">
        <v>54</v>
      </c>
      <c r="G172" t="s">
        <v>31</v>
      </c>
      <c r="H172">
        <v>901.38</v>
      </c>
    </row>
    <row r="173" spans="1:8">
      <c r="A173">
        <v>1241</v>
      </c>
      <c r="B173" t="s">
        <v>258</v>
      </c>
      <c r="C173" t="s">
        <v>33</v>
      </c>
      <c r="D173" t="s">
        <v>65</v>
      </c>
      <c r="E173" t="s">
        <v>39</v>
      </c>
      <c r="F173" t="s">
        <v>30</v>
      </c>
      <c r="G173" t="s">
        <v>42</v>
      </c>
      <c r="H173">
        <v>1092.69</v>
      </c>
    </row>
    <row r="174" spans="1:8">
      <c r="A174">
        <v>1205</v>
      </c>
      <c r="B174" t="s">
        <v>259</v>
      </c>
      <c r="C174" t="s">
        <v>41</v>
      </c>
      <c r="D174" t="s">
        <v>22</v>
      </c>
      <c r="E174" t="s">
        <v>248</v>
      </c>
      <c r="F174" t="s">
        <v>12</v>
      </c>
      <c r="G174" t="s">
        <v>42</v>
      </c>
      <c r="H174">
        <v>2028.14</v>
      </c>
    </row>
    <row r="175" spans="1:8">
      <c r="A175">
        <v>1366</v>
      </c>
      <c r="B175" t="s">
        <v>260</v>
      </c>
      <c r="C175" t="s">
        <v>33</v>
      </c>
      <c r="D175" t="s">
        <v>16</v>
      </c>
      <c r="E175" t="s">
        <v>93</v>
      </c>
      <c r="F175" t="s">
        <v>54</v>
      </c>
      <c r="G175" t="s">
        <v>76</v>
      </c>
      <c r="H175">
        <v>2092.39</v>
      </c>
    </row>
    <row r="176" spans="1:8">
      <c r="A176">
        <v>1003</v>
      </c>
      <c r="B176" t="s">
        <v>261</v>
      </c>
      <c r="C176" t="s">
        <v>38</v>
      </c>
      <c r="D176" t="s">
        <v>50</v>
      </c>
      <c r="E176" t="s">
        <v>147</v>
      </c>
      <c r="F176" t="s">
        <v>12</v>
      </c>
      <c r="G176" t="s">
        <v>31</v>
      </c>
    </row>
    <row r="177" spans="1:8">
      <c r="A177">
        <v>1188</v>
      </c>
      <c r="B177" t="s">
        <v>262</v>
      </c>
      <c r="C177" t="s">
        <v>33</v>
      </c>
      <c r="D177" t="s">
        <v>65</v>
      </c>
      <c r="E177" t="s">
        <v>88</v>
      </c>
      <c r="F177" t="s">
        <v>18</v>
      </c>
      <c r="G177" t="s">
        <v>13</v>
      </c>
      <c r="H177">
        <v>1570.75</v>
      </c>
    </row>
    <row r="178" spans="1:8">
      <c r="A178">
        <v>1122</v>
      </c>
      <c r="B178" t="s">
        <v>169</v>
      </c>
      <c r="C178" t="s">
        <v>21</v>
      </c>
      <c r="D178" t="s">
        <v>65</v>
      </c>
      <c r="E178" t="s">
        <v>48</v>
      </c>
      <c r="F178" t="s">
        <v>12</v>
      </c>
      <c r="G178" t="s">
        <v>31</v>
      </c>
      <c r="H178">
        <v>1501.22</v>
      </c>
    </row>
    <row r="179" spans="1:8">
      <c r="A179">
        <v>1078</v>
      </c>
      <c r="B179" t="s">
        <v>263</v>
      </c>
      <c r="C179" t="s">
        <v>41</v>
      </c>
      <c r="D179" t="s">
        <v>90</v>
      </c>
      <c r="E179" t="s">
        <v>108</v>
      </c>
      <c r="F179" t="s">
        <v>24</v>
      </c>
      <c r="G179" t="s">
        <v>25</v>
      </c>
      <c r="H179">
        <v>1960.02</v>
      </c>
    </row>
    <row r="180" spans="1:8">
      <c r="A180">
        <v>1329</v>
      </c>
      <c r="B180" t="s">
        <v>145</v>
      </c>
      <c r="C180" t="s">
        <v>38</v>
      </c>
      <c r="D180" t="s">
        <v>47</v>
      </c>
      <c r="E180" t="s">
        <v>51</v>
      </c>
      <c r="F180" t="s">
        <v>54</v>
      </c>
      <c r="G180" t="s">
        <v>13</v>
      </c>
      <c r="H180">
        <v>1045.47</v>
      </c>
    </row>
    <row r="181" spans="1:8">
      <c r="A181">
        <v>1064</v>
      </c>
      <c r="B181" t="s">
        <v>264</v>
      </c>
      <c r="C181" t="s">
        <v>41</v>
      </c>
      <c r="D181" t="s">
        <v>65</v>
      </c>
      <c r="E181" t="s">
        <v>120</v>
      </c>
      <c r="F181" t="s">
        <v>24</v>
      </c>
      <c r="G181" t="s">
        <v>13</v>
      </c>
      <c r="H181">
        <v>723.69</v>
      </c>
    </row>
    <row r="182" spans="1:8">
      <c r="A182">
        <v>1018</v>
      </c>
      <c r="B182" t="s">
        <v>265</v>
      </c>
      <c r="C182" t="s">
        <v>33</v>
      </c>
      <c r="D182" t="s">
        <v>90</v>
      </c>
      <c r="E182" t="s">
        <v>74</v>
      </c>
      <c r="F182" t="s">
        <v>18</v>
      </c>
      <c r="G182" t="s">
        <v>25</v>
      </c>
      <c r="H182">
        <v>1993.17</v>
      </c>
    </row>
    <row r="183" spans="1:8">
      <c r="A183">
        <v>1288</v>
      </c>
      <c r="B183" t="s">
        <v>110</v>
      </c>
      <c r="C183" t="s">
        <v>9</v>
      </c>
      <c r="D183" t="s">
        <v>16</v>
      </c>
      <c r="E183" t="s">
        <v>200</v>
      </c>
      <c r="F183" t="s">
        <v>30</v>
      </c>
      <c r="G183" t="s">
        <v>36</v>
      </c>
      <c r="H183">
        <v>1955.72</v>
      </c>
    </row>
    <row r="184" spans="1:8">
      <c r="A184">
        <v>1151</v>
      </c>
      <c r="B184" t="s">
        <v>266</v>
      </c>
      <c r="C184" t="s">
        <v>33</v>
      </c>
      <c r="D184" t="s">
        <v>99</v>
      </c>
      <c r="E184" t="s">
        <v>63</v>
      </c>
      <c r="F184" t="s">
        <v>54</v>
      </c>
      <c r="G184" t="s">
        <v>13</v>
      </c>
      <c r="H184">
        <v>1461.21</v>
      </c>
    </row>
    <row r="185" spans="1:8">
      <c r="A185">
        <v>1339</v>
      </c>
      <c r="B185" t="s">
        <v>267</v>
      </c>
      <c r="C185" t="s">
        <v>15</v>
      </c>
      <c r="D185" t="s">
        <v>16</v>
      </c>
      <c r="E185" t="s">
        <v>63</v>
      </c>
      <c r="F185" t="s">
        <v>30</v>
      </c>
      <c r="H185">
        <v>1613.42</v>
      </c>
    </row>
    <row r="186" spans="1:8">
      <c r="A186">
        <v>1043</v>
      </c>
      <c r="B186" t="s">
        <v>268</v>
      </c>
      <c r="C186" t="s">
        <v>15</v>
      </c>
      <c r="D186" t="s">
        <v>16</v>
      </c>
      <c r="E186" t="s">
        <v>203</v>
      </c>
      <c r="F186" t="s">
        <v>54</v>
      </c>
      <c r="G186" t="s">
        <v>25</v>
      </c>
      <c r="H186">
        <v>752.69</v>
      </c>
    </row>
    <row r="187" spans="1:8">
      <c r="A187">
        <v>1180</v>
      </c>
      <c r="B187" t="s">
        <v>269</v>
      </c>
      <c r="C187" t="s">
        <v>27</v>
      </c>
      <c r="D187" t="s">
        <v>60</v>
      </c>
      <c r="E187" t="s">
        <v>74</v>
      </c>
      <c r="F187" t="s">
        <v>30</v>
      </c>
      <c r="G187" t="s">
        <v>31</v>
      </c>
      <c r="H187">
        <v>757.73</v>
      </c>
    </row>
    <row r="188" spans="1:8">
      <c r="A188">
        <v>1378</v>
      </c>
      <c r="B188" t="s">
        <v>181</v>
      </c>
      <c r="C188" t="s">
        <v>33</v>
      </c>
      <c r="D188" t="s">
        <v>60</v>
      </c>
      <c r="E188" t="s">
        <v>129</v>
      </c>
      <c r="F188" t="s">
        <v>45</v>
      </c>
      <c r="G188" t="s">
        <v>42</v>
      </c>
      <c r="H188">
        <v>859.48</v>
      </c>
    </row>
    <row r="189" spans="1:8">
      <c r="A189">
        <v>1163</v>
      </c>
      <c r="B189" t="s">
        <v>270</v>
      </c>
      <c r="C189" t="s">
        <v>33</v>
      </c>
      <c r="D189" t="s">
        <v>90</v>
      </c>
      <c r="E189" t="s">
        <v>35</v>
      </c>
      <c r="F189" t="s">
        <v>12</v>
      </c>
      <c r="G189" t="s">
        <v>25</v>
      </c>
      <c r="H189">
        <v>790.36</v>
      </c>
    </row>
    <row r="190" spans="1:8">
      <c r="A190">
        <v>1380</v>
      </c>
      <c r="B190" t="s">
        <v>271</v>
      </c>
      <c r="C190" t="s">
        <v>27</v>
      </c>
      <c r="D190" t="s">
        <v>47</v>
      </c>
      <c r="E190" t="s">
        <v>58</v>
      </c>
      <c r="F190" t="s">
        <v>54</v>
      </c>
      <c r="G190" t="s">
        <v>13</v>
      </c>
      <c r="H190">
        <v>293.98</v>
      </c>
    </row>
    <row r="191" spans="1:8">
      <c r="A191">
        <v>1140</v>
      </c>
      <c r="B191" t="s">
        <v>272</v>
      </c>
      <c r="C191" t="s">
        <v>27</v>
      </c>
      <c r="D191" t="s">
        <v>99</v>
      </c>
      <c r="E191" t="s">
        <v>161</v>
      </c>
      <c r="F191" t="s">
        <v>24</v>
      </c>
      <c r="H191">
        <v>1003.81</v>
      </c>
    </row>
    <row r="192" spans="1:8">
      <c r="A192">
        <v>1398</v>
      </c>
      <c r="B192" t="s">
        <v>273</v>
      </c>
      <c r="C192" t="s">
        <v>21</v>
      </c>
      <c r="D192" t="s">
        <v>34</v>
      </c>
      <c r="E192" t="s">
        <v>203</v>
      </c>
      <c r="F192" t="s">
        <v>54</v>
      </c>
      <c r="G192" t="s">
        <v>25</v>
      </c>
    </row>
    <row r="193" spans="1:8">
      <c r="A193">
        <v>1391</v>
      </c>
      <c r="B193" t="s">
        <v>274</v>
      </c>
      <c r="C193" t="s">
        <v>38</v>
      </c>
      <c r="D193" t="s">
        <v>95</v>
      </c>
      <c r="E193" t="s">
        <v>108</v>
      </c>
      <c r="F193" t="s">
        <v>24</v>
      </c>
      <c r="G193" t="s">
        <v>42</v>
      </c>
      <c r="H193">
        <v>1389.46</v>
      </c>
    </row>
    <row r="194" spans="1:8">
      <c r="A194">
        <v>1029</v>
      </c>
      <c r="B194" t="s">
        <v>275</v>
      </c>
      <c r="C194" t="s">
        <v>27</v>
      </c>
      <c r="D194" t="s">
        <v>95</v>
      </c>
      <c r="E194" t="s">
        <v>203</v>
      </c>
      <c r="F194" t="s">
        <v>30</v>
      </c>
      <c r="G194" t="s">
        <v>25</v>
      </c>
      <c r="H194">
        <v>1644.06</v>
      </c>
    </row>
    <row r="195" spans="1:8">
      <c r="A195">
        <v>1297</v>
      </c>
      <c r="B195" t="s">
        <v>276</v>
      </c>
      <c r="C195" t="s">
        <v>21</v>
      </c>
      <c r="D195" t="s">
        <v>47</v>
      </c>
      <c r="E195" t="s">
        <v>230</v>
      </c>
      <c r="F195" t="s">
        <v>24</v>
      </c>
      <c r="G195" t="s">
        <v>31</v>
      </c>
      <c r="H195">
        <v>990.05</v>
      </c>
    </row>
    <row r="196" spans="1:8">
      <c r="A196">
        <v>1309</v>
      </c>
      <c r="B196" t="s">
        <v>157</v>
      </c>
      <c r="C196" t="s">
        <v>21</v>
      </c>
      <c r="D196" t="s">
        <v>95</v>
      </c>
      <c r="E196" t="s">
        <v>100</v>
      </c>
      <c r="F196" t="s">
        <v>54</v>
      </c>
      <c r="G196" t="s">
        <v>31</v>
      </c>
      <c r="H196">
        <v>529.7</v>
      </c>
    </row>
    <row r="197" spans="1:8">
      <c r="A197">
        <v>1266</v>
      </c>
      <c r="B197" t="s">
        <v>277</v>
      </c>
      <c r="C197" t="s">
        <v>15</v>
      </c>
      <c r="D197" t="s">
        <v>34</v>
      </c>
      <c r="E197" t="s">
        <v>226</v>
      </c>
      <c r="F197" t="s">
        <v>24</v>
      </c>
      <c r="G197" t="s">
        <v>19</v>
      </c>
      <c r="H197">
        <v>2166.58</v>
      </c>
    </row>
    <row r="198" spans="1:8">
      <c r="A198">
        <v>1168</v>
      </c>
      <c r="B198" t="s">
        <v>278</v>
      </c>
      <c r="C198" t="s">
        <v>57</v>
      </c>
      <c r="D198" t="s">
        <v>47</v>
      </c>
      <c r="E198" t="s">
        <v>97</v>
      </c>
      <c r="F198" t="s">
        <v>45</v>
      </c>
      <c r="G198" t="s">
        <v>19</v>
      </c>
      <c r="H198">
        <v>1081.63</v>
      </c>
    </row>
    <row r="199" spans="1:8">
      <c r="A199">
        <v>1342</v>
      </c>
      <c r="B199" t="s">
        <v>119</v>
      </c>
      <c r="C199" t="s">
        <v>57</v>
      </c>
      <c r="D199" t="s">
        <v>47</v>
      </c>
      <c r="E199" t="s">
        <v>120</v>
      </c>
      <c r="F199" t="s">
        <v>30</v>
      </c>
      <c r="G199" t="s">
        <v>19</v>
      </c>
      <c r="H199">
        <v>2950.77</v>
      </c>
    </row>
    <row r="200" spans="1:8">
      <c r="A200">
        <v>1045</v>
      </c>
      <c r="B200" t="s">
        <v>279</v>
      </c>
      <c r="C200" t="s">
        <v>33</v>
      </c>
      <c r="D200" t="s">
        <v>90</v>
      </c>
      <c r="E200" t="s">
        <v>44</v>
      </c>
      <c r="F200" t="s">
        <v>18</v>
      </c>
      <c r="G200" t="s">
        <v>25</v>
      </c>
      <c r="H200">
        <v>529.59</v>
      </c>
    </row>
    <row r="201" spans="1:8">
      <c r="A201">
        <v>1302</v>
      </c>
      <c r="B201" t="s">
        <v>176</v>
      </c>
      <c r="C201" t="s">
        <v>57</v>
      </c>
      <c r="D201" t="s">
        <v>60</v>
      </c>
      <c r="E201" t="s">
        <v>93</v>
      </c>
      <c r="F201" t="s">
        <v>12</v>
      </c>
      <c r="G201" t="s">
        <v>42</v>
      </c>
      <c r="H201">
        <v>2881.38</v>
      </c>
    </row>
    <row r="202" spans="1:8">
      <c r="A202">
        <v>1143</v>
      </c>
      <c r="B202" t="s">
        <v>145</v>
      </c>
      <c r="C202" t="s">
        <v>15</v>
      </c>
      <c r="D202" t="s">
        <v>34</v>
      </c>
      <c r="E202" t="s">
        <v>200</v>
      </c>
      <c r="F202" t="s">
        <v>24</v>
      </c>
      <c r="G202" t="s">
        <v>31</v>
      </c>
      <c r="H202">
        <v>808.42</v>
      </c>
    </row>
    <row r="203" spans="1:8">
      <c r="A203">
        <v>1390</v>
      </c>
      <c r="B203" t="s">
        <v>280</v>
      </c>
      <c r="C203" t="s">
        <v>9</v>
      </c>
      <c r="D203" t="s">
        <v>28</v>
      </c>
      <c r="E203" t="s">
        <v>104</v>
      </c>
      <c r="F203" t="s">
        <v>45</v>
      </c>
      <c r="G203" t="s">
        <v>36</v>
      </c>
      <c r="H203">
        <v>1063.85</v>
      </c>
    </row>
    <row r="204" spans="1:8">
      <c r="A204">
        <v>1236</v>
      </c>
      <c r="B204" t="s">
        <v>281</v>
      </c>
      <c r="C204" t="s">
        <v>38</v>
      </c>
      <c r="D204" t="s">
        <v>50</v>
      </c>
      <c r="E204" t="s">
        <v>256</v>
      </c>
      <c r="F204" t="s">
        <v>45</v>
      </c>
      <c r="G204" t="s">
        <v>19</v>
      </c>
    </row>
    <row r="205" spans="1:8">
      <c r="A205">
        <v>1041</v>
      </c>
      <c r="B205" t="s">
        <v>282</v>
      </c>
      <c r="C205" t="s">
        <v>15</v>
      </c>
      <c r="D205" t="s">
        <v>90</v>
      </c>
      <c r="E205" t="s">
        <v>53</v>
      </c>
      <c r="F205" t="s">
        <v>12</v>
      </c>
      <c r="G205" t="s">
        <v>42</v>
      </c>
      <c r="H205">
        <v>825.11</v>
      </c>
    </row>
    <row r="206" spans="1:8">
      <c r="A206">
        <v>1259</v>
      </c>
      <c r="B206" t="s">
        <v>283</v>
      </c>
      <c r="C206" t="s">
        <v>41</v>
      </c>
      <c r="D206" t="s">
        <v>90</v>
      </c>
      <c r="E206" t="s">
        <v>198</v>
      </c>
      <c r="F206" t="s">
        <v>24</v>
      </c>
    </row>
    <row r="207" spans="1:8">
      <c r="A207">
        <v>1021</v>
      </c>
      <c r="B207" t="s">
        <v>284</v>
      </c>
      <c r="C207" t="s">
        <v>41</v>
      </c>
      <c r="D207" t="s">
        <v>28</v>
      </c>
      <c r="E207" t="s">
        <v>187</v>
      </c>
      <c r="F207" t="s">
        <v>54</v>
      </c>
      <c r="H207">
        <v>3215.74</v>
      </c>
    </row>
    <row r="208" spans="1:8">
      <c r="A208">
        <v>1307</v>
      </c>
      <c r="B208" t="s">
        <v>257</v>
      </c>
      <c r="C208" t="s">
        <v>21</v>
      </c>
      <c r="D208" t="s">
        <v>60</v>
      </c>
      <c r="E208" t="s">
        <v>194</v>
      </c>
      <c r="F208" t="s">
        <v>45</v>
      </c>
      <c r="G208" t="s">
        <v>31</v>
      </c>
      <c r="H208">
        <v>791.45</v>
      </c>
    </row>
    <row r="209" spans="1:8">
      <c r="A209">
        <v>1108</v>
      </c>
      <c r="B209" t="s">
        <v>285</v>
      </c>
      <c r="C209" t="s">
        <v>38</v>
      </c>
      <c r="D209" t="s">
        <v>28</v>
      </c>
      <c r="E209" t="s">
        <v>84</v>
      </c>
      <c r="F209" t="s">
        <v>30</v>
      </c>
      <c r="G209" t="s">
        <v>13</v>
      </c>
      <c r="H209">
        <v>989.74</v>
      </c>
    </row>
    <row r="210" spans="1:8">
      <c r="A210">
        <v>1177</v>
      </c>
      <c r="B210" t="s">
        <v>286</v>
      </c>
      <c r="C210" t="s">
        <v>57</v>
      </c>
      <c r="D210" t="s">
        <v>10</v>
      </c>
      <c r="E210" t="s">
        <v>39</v>
      </c>
      <c r="F210" t="s">
        <v>30</v>
      </c>
      <c r="G210" t="s">
        <v>25</v>
      </c>
      <c r="H210">
        <v>1883.38</v>
      </c>
    </row>
    <row r="211" spans="1:8">
      <c r="A211">
        <v>1057</v>
      </c>
      <c r="B211" t="s">
        <v>287</v>
      </c>
      <c r="C211" t="s">
        <v>57</v>
      </c>
      <c r="D211" t="s">
        <v>60</v>
      </c>
      <c r="E211" t="s">
        <v>86</v>
      </c>
      <c r="F211" t="s">
        <v>24</v>
      </c>
      <c r="G211" t="s">
        <v>31</v>
      </c>
    </row>
    <row r="212" spans="1:8">
      <c r="A212">
        <v>1314</v>
      </c>
      <c r="B212" t="s">
        <v>288</v>
      </c>
      <c r="C212" t="s">
        <v>57</v>
      </c>
      <c r="D212" t="s">
        <v>95</v>
      </c>
      <c r="E212" t="s">
        <v>82</v>
      </c>
      <c r="F212" t="s">
        <v>18</v>
      </c>
      <c r="G212" t="s">
        <v>55</v>
      </c>
      <c r="H212">
        <v>1063.27</v>
      </c>
    </row>
    <row r="213" spans="1:8">
      <c r="A213">
        <v>1203</v>
      </c>
      <c r="B213" t="s">
        <v>289</v>
      </c>
      <c r="C213" t="s">
        <v>21</v>
      </c>
      <c r="D213" t="s">
        <v>65</v>
      </c>
      <c r="E213" t="s">
        <v>238</v>
      </c>
      <c r="F213" t="s">
        <v>18</v>
      </c>
      <c r="G213" t="s">
        <v>13</v>
      </c>
      <c r="H213">
        <v>1605.77</v>
      </c>
    </row>
    <row r="214" spans="1:8">
      <c r="A214">
        <v>1292</v>
      </c>
      <c r="B214" t="s">
        <v>290</v>
      </c>
      <c r="C214" t="s">
        <v>15</v>
      </c>
      <c r="D214" t="s">
        <v>47</v>
      </c>
      <c r="E214" t="s">
        <v>243</v>
      </c>
      <c r="F214" t="s">
        <v>54</v>
      </c>
      <c r="G214" t="s">
        <v>19</v>
      </c>
      <c r="H214">
        <v>1533.79</v>
      </c>
    </row>
    <row r="215" spans="1:8">
      <c r="A215">
        <v>1273</v>
      </c>
      <c r="B215" t="s">
        <v>291</v>
      </c>
      <c r="C215" t="s">
        <v>9</v>
      </c>
      <c r="D215" t="s">
        <v>28</v>
      </c>
      <c r="E215" t="s">
        <v>118</v>
      </c>
      <c r="F215" t="s">
        <v>54</v>
      </c>
      <c r="G215" t="s">
        <v>42</v>
      </c>
      <c r="H215">
        <v>804.16</v>
      </c>
    </row>
    <row r="216" spans="1:8">
      <c r="A216">
        <v>1384</v>
      </c>
      <c r="B216" t="s">
        <v>292</v>
      </c>
      <c r="C216" t="s">
        <v>27</v>
      </c>
      <c r="D216" t="s">
        <v>16</v>
      </c>
      <c r="E216" t="s">
        <v>66</v>
      </c>
      <c r="F216" t="s">
        <v>45</v>
      </c>
      <c r="H216">
        <v>2798.31</v>
      </c>
    </row>
    <row r="217" spans="1:8">
      <c r="A217">
        <v>1170</v>
      </c>
      <c r="B217" t="s">
        <v>293</v>
      </c>
      <c r="C217" t="s">
        <v>33</v>
      </c>
      <c r="D217" t="s">
        <v>10</v>
      </c>
      <c r="E217" t="s">
        <v>158</v>
      </c>
      <c r="F217" t="s">
        <v>24</v>
      </c>
      <c r="G217" t="s">
        <v>31</v>
      </c>
      <c r="H217">
        <v>1511.64</v>
      </c>
    </row>
    <row r="218" spans="1:8">
      <c r="A218">
        <v>1029</v>
      </c>
      <c r="B218" t="s">
        <v>275</v>
      </c>
      <c r="C218" t="s">
        <v>27</v>
      </c>
      <c r="D218" t="s">
        <v>95</v>
      </c>
      <c r="E218" t="s">
        <v>203</v>
      </c>
      <c r="F218" t="s">
        <v>30</v>
      </c>
      <c r="G218" t="s">
        <v>25</v>
      </c>
      <c r="H218">
        <v>1644.06</v>
      </c>
    </row>
    <row r="219" spans="1:8">
      <c r="A219">
        <v>1162</v>
      </c>
      <c r="B219" t="s">
        <v>294</v>
      </c>
      <c r="C219" t="s">
        <v>41</v>
      </c>
      <c r="D219" t="s">
        <v>60</v>
      </c>
      <c r="E219" t="s">
        <v>194</v>
      </c>
      <c r="F219" t="s">
        <v>30</v>
      </c>
      <c r="G219" t="s">
        <v>25</v>
      </c>
      <c r="H219">
        <v>2748.65</v>
      </c>
    </row>
    <row r="220" spans="1:8">
      <c r="A220">
        <v>1149</v>
      </c>
      <c r="B220" t="s">
        <v>295</v>
      </c>
      <c r="C220" t="s">
        <v>15</v>
      </c>
      <c r="D220" t="s">
        <v>34</v>
      </c>
      <c r="E220" t="s">
        <v>44</v>
      </c>
      <c r="F220" t="s">
        <v>18</v>
      </c>
      <c r="G220" t="s">
        <v>42</v>
      </c>
      <c r="H220">
        <v>536.23</v>
      </c>
    </row>
    <row r="221" spans="1:8">
      <c r="A221">
        <v>1388</v>
      </c>
      <c r="B221" t="s">
        <v>233</v>
      </c>
      <c r="C221" t="s">
        <v>41</v>
      </c>
      <c r="D221" t="s">
        <v>47</v>
      </c>
      <c r="E221" t="s">
        <v>53</v>
      </c>
      <c r="F221" t="s">
        <v>12</v>
      </c>
      <c r="G221" t="s">
        <v>55</v>
      </c>
      <c r="H221">
        <v>274.93</v>
      </c>
    </row>
    <row r="222" spans="1:8">
      <c r="A222">
        <v>1199</v>
      </c>
      <c r="B222" t="s">
        <v>153</v>
      </c>
      <c r="C222" t="s">
        <v>41</v>
      </c>
      <c r="D222" t="s">
        <v>95</v>
      </c>
      <c r="E222" t="s">
        <v>23</v>
      </c>
      <c r="F222" t="s">
        <v>18</v>
      </c>
      <c r="G222" t="s">
        <v>25</v>
      </c>
      <c r="H222">
        <v>764.71</v>
      </c>
    </row>
    <row r="223" spans="1:8">
      <c r="A223">
        <v>1324</v>
      </c>
      <c r="B223" t="s">
        <v>296</v>
      </c>
      <c r="C223" t="s">
        <v>15</v>
      </c>
      <c r="D223" t="s">
        <v>65</v>
      </c>
      <c r="E223" t="s">
        <v>147</v>
      </c>
      <c r="F223" t="s">
        <v>12</v>
      </c>
      <c r="G223" t="s">
        <v>25</v>
      </c>
      <c r="H223">
        <v>740.9</v>
      </c>
    </row>
    <row r="224" spans="1:8">
      <c r="A224">
        <v>1094</v>
      </c>
      <c r="B224" t="s">
        <v>297</v>
      </c>
      <c r="C224" t="s">
        <v>9</v>
      </c>
      <c r="D224" t="s">
        <v>10</v>
      </c>
      <c r="E224" t="s">
        <v>238</v>
      </c>
      <c r="F224" t="s">
        <v>12</v>
      </c>
      <c r="G224" t="s">
        <v>36</v>
      </c>
      <c r="H224">
        <v>1835.23</v>
      </c>
    </row>
    <row r="225" spans="1:8">
      <c r="A225">
        <v>1188</v>
      </c>
      <c r="B225" t="s">
        <v>262</v>
      </c>
      <c r="D225" t="s">
        <v>65</v>
      </c>
      <c r="E225" t="s">
        <v>88</v>
      </c>
      <c r="F225" t="s">
        <v>18</v>
      </c>
      <c r="G225" t="s">
        <v>13</v>
      </c>
      <c r="H225">
        <v>1570.75</v>
      </c>
    </row>
    <row r="226" spans="1:8">
      <c r="A226">
        <v>1371</v>
      </c>
      <c r="B226" t="s">
        <v>298</v>
      </c>
      <c r="C226" t="s">
        <v>41</v>
      </c>
      <c r="D226" t="s">
        <v>50</v>
      </c>
      <c r="E226" t="s">
        <v>104</v>
      </c>
      <c r="F226" t="s">
        <v>30</v>
      </c>
      <c r="G226" t="s">
        <v>25</v>
      </c>
      <c r="H226">
        <v>1039.33</v>
      </c>
    </row>
    <row r="227" spans="1:8">
      <c r="A227">
        <v>1221</v>
      </c>
      <c r="B227" t="s">
        <v>299</v>
      </c>
      <c r="C227" t="s">
        <v>33</v>
      </c>
      <c r="D227" t="s">
        <v>10</v>
      </c>
      <c r="E227" t="s">
        <v>53</v>
      </c>
      <c r="F227" t="s">
        <v>45</v>
      </c>
      <c r="G227" t="s">
        <v>19</v>
      </c>
      <c r="H227">
        <v>830.37</v>
      </c>
    </row>
    <row r="228" spans="1:8">
      <c r="A228">
        <v>1085</v>
      </c>
      <c r="B228" t="s">
        <v>244</v>
      </c>
      <c r="C228" t="s">
        <v>21</v>
      </c>
      <c r="D228" t="s">
        <v>16</v>
      </c>
      <c r="E228" t="s">
        <v>51</v>
      </c>
      <c r="F228" t="s">
        <v>30</v>
      </c>
      <c r="G228" t="s">
        <v>13</v>
      </c>
      <c r="H228">
        <v>282.54</v>
      </c>
    </row>
    <row r="229" spans="1:8">
      <c r="A229">
        <v>1132</v>
      </c>
      <c r="B229" t="s">
        <v>255</v>
      </c>
      <c r="C229" t="s">
        <v>15</v>
      </c>
      <c r="D229" t="s">
        <v>99</v>
      </c>
      <c r="E229" t="s">
        <v>88</v>
      </c>
      <c r="F229" t="s">
        <v>18</v>
      </c>
      <c r="G229" t="s">
        <v>42</v>
      </c>
      <c r="H229">
        <v>1065.34</v>
      </c>
    </row>
    <row r="230" spans="1:8">
      <c r="A230">
        <v>1187</v>
      </c>
      <c r="B230" t="s">
        <v>300</v>
      </c>
      <c r="C230" t="s">
        <v>57</v>
      </c>
      <c r="D230" t="s">
        <v>99</v>
      </c>
      <c r="E230" t="s">
        <v>29</v>
      </c>
      <c r="F230" t="s">
        <v>24</v>
      </c>
      <c r="G230" t="s">
        <v>31</v>
      </c>
      <c r="H230">
        <v>2983.25</v>
      </c>
    </row>
    <row r="231" spans="1:8">
      <c r="A231">
        <v>1233</v>
      </c>
      <c r="B231" t="s">
        <v>301</v>
      </c>
      <c r="C231" t="s">
        <v>57</v>
      </c>
      <c r="D231" t="s">
        <v>99</v>
      </c>
      <c r="E231" t="s">
        <v>61</v>
      </c>
      <c r="F231" t="s">
        <v>30</v>
      </c>
      <c r="G231" t="s">
        <v>13</v>
      </c>
      <c r="H231">
        <v>270.1</v>
      </c>
    </row>
    <row r="232" spans="1:8">
      <c r="A232">
        <v>1089</v>
      </c>
      <c r="B232" t="s">
        <v>283</v>
      </c>
      <c r="C232" t="s">
        <v>33</v>
      </c>
      <c r="D232" t="s">
        <v>16</v>
      </c>
      <c r="E232" t="s">
        <v>113</v>
      </c>
      <c r="F232" t="s">
        <v>30</v>
      </c>
      <c r="G232" t="s">
        <v>13</v>
      </c>
      <c r="H232">
        <v>1085.48</v>
      </c>
    </row>
    <row r="233" spans="1:8">
      <c r="A233">
        <v>1011</v>
      </c>
      <c r="B233" t="s">
        <v>169</v>
      </c>
      <c r="C233" t="s">
        <v>15</v>
      </c>
      <c r="D233" t="s">
        <v>50</v>
      </c>
      <c r="E233" t="s">
        <v>200</v>
      </c>
      <c r="F233" t="s">
        <v>45</v>
      </c>
      <c r="G233" t="s">
        <v>55</v>
      </c>
      <c r="H233">
        <v>874.28</v>
      </c>
    </row>
    <row r="234" spans="1:8">
      <c r="A234">
        <v>1034</v>
      </c>
      <c r="B234" t="s">
        <v>134</v>
      </c>
      <c r="C234" t="s">
        <v>9</v>
      </c>
      <c r="D234" t="s">
        <v>10</v>
      </c>
      <c r="E234" t="s">
        <v>161</v>
      </c>
      <c r="F234" t="s">
        <v>24</v>
      </c>
      <c r="G234" t="s">
        <v>31</v>
      </c>
      <c r="H234">
        <v>843.76</v>
      </c>
    </row>
    <row r="235" spans="1:8">
      <c r="A235">
        <v>1217</v>
      </c>
      <c r="B235" t="s">
        <v>302</v>
      </c>
      <c r="C235" t="s">
        <v>15</v>
      </c>
      <c r="D235" t="s">
        <v>65</v>
      </c>
      <c r="E235" t="s">
        <v>39</v>
      </c>
      <c r="F235" t="s">
        <v>54</v>
      </c>
      <c r="G235" t="s">
        <v>36</v>
      </c>
      <c r="H235">
        <v>455.82</v>
      </c>
    </row>
    <row r="236" spans="1:8">
      <c r="A236">
        <v>1072</v>
      </c>
      <c r="B236" t="s">
        <v>303</v>
      </c>
      <c r="C236" t="s">
        <v>41</v>
      </c>
      <c r="D236" t="s">
        <v>90</v>
      </c>
      <c r="E236" t="s">
        <v>44</v>
      </c>
      <c r="F236" t="s">
        <v>54</v>
      </c>
      <c r="G236" t="s">
        <v>13</v>
      </c>
      <c r="H236">
        <v>913.9</v>
      </c>
    </row>
    <row r="237" spans="1:8">
      <c r="A237">
        <v>1375</v>
      </c>
      <c r="B237" t="s">
        <v>304</v>
      </c>
      <c r="C237" t="s">
        <v>57</v>
      </c>
      <c r="D237" t="s">
        <v>10</v>
      </c>
      <c r="E237" t="s">
        <v>35</v>
      </c>
      <c r="F237" t="s">
        <v>54</v>
      </c>
      <c r="G237" t="s">
        <v>42</v>
      </c>
      <c r="H237">
        <v>1996.64</v>
      </c>
    </row>
    <row r="238" spans="1:8">
      <c r="A238">
        <v>1245</v>
      </c>
      <c r="B238" t="s">
        <v>251</v>
      </c>
      <c r="C238" t="s">
        <v>38</v>
      </c>
      <c r="D238" t="s">
        <v>99</v>
      </c>
      <c r="E238" t="s">
        <v>35</v>
      </c>
      <c r="F238" t="s">
        <v>12</v>
      </c>
      <c r="G238" t="s">
        <v>19</v>
      </c>
      <c r="H238">
        <v>304.8</v>
      </c>
    </row>
    <row r="239" spans="1:8">
      <c r="A239">
        <v>1248</v>
      </c>
      <c r="B239" t="s">
        <v>305</v>
      </c>
      <c r="C239" t="s">
        <v>21</v>
      </c>
      <c r="D239" t="s">
        <v>28</v>
      </c>
      <c r="E239" t="s">
        <v>58</v>
      </c>
      <c r="F239" t="s">
        <v>24</v>
      </c>
      <c r="H239">
        <v>1533.98</v>
      </c>
    </row>
    <row r="240" spans="1:8">
      <c r="A240">
        <v>1333</v>
      </c>
      <c r="B240" t="s">
        <v>306</v>
      </c>
      <c r="C240" t="s">
        <v>15</v>
      </c>
      <c r="D240" t="s">
        <v>34</v>
      </c>
      <c r="E240" t="s">
        <v>82</v>
      </c>
      <c r="F240" t="s">
        <v>54</v>
      </c>
      <c r="G240" t="s">
        <v>31</v>
      </c>
      <c r="H240">
        <v>546.34</v>
      </c>
    </row>
    <row r="241" spans="1:8">
      <c r="A241">
        <v>1139</v>
      </c>
      <c r="B241" t="s">
        <v>307</v>
      </c>
      <c r="C241" t="s">
        <v>9</v>
      </c>
      <c r="D241" t="s">
        <v>60</v>
      </c>
      <c r="E241" t="s">
        <v>200</v>
      </c>
      <c r="F241" t="s">
        <v>45</v>
      </c>
      <c r="G241" t="s">
        <v>19</v>
      </c>
      <c r="H241">
        <v>544.68</v>
      </c>
    </row>
    <row r="242" spans="1:8">
      <c r="A242">
        <v>1172</v>
      </c>
      <c r="B242" t="s">
        <v>308</v>
      </c>
      <c r="C242" t="s">
        <v>38</v>
      </c>
      <c r="D242" t="s">
        <v>90</v>
      </c>
      <c r="E242" t="s">
        <v>48</v>
      </c>
      <c r="F242" t="s">
        <v>45</v>
      </c>
      <c r="H242">
        <v>1472.26</v>
      </c>
    </row>
    <row r="243" spans="1:8">
      <c r="A243">
        <v>1389</v>
      </c>
      <c r="B243" t="s">
        <v>309</v>
      </c>
      <c r="C243" t="s">
        <v>33</v>
      </c>
      <c r="D243" t="s">
        <v>47</v>
      </c>
      <c r="E243" t="s">
        <v>147</v>
      </c>
      <c r="F243" t="s">
        <v>54</v>
      </c>
      <c r="G243" t="s">
        <v>13</v>
      </c>
      <c r="H243">
        <v>927.16</v>
      </c>
    </row>
    <row r="244" spans="1:8">
      <c r="A244">
        <v>1111</v>
      </c>
      <c r="B244" t="s">
        <v>310</v>
      </c>
      <c r="C244" t="s">
        <v>21</v>
      </c>
      <c r="D244" t="s">
        <v>28</v>
      </c>
      <c r="E244" t="s">
        <v>104</v>
      </c>
      <c r="F244" t="s">
        <v>45</v>
      </c>
      <c r="G244" t="s">
        <v>31</v>
      </c>
      <c r="H244">
        <v>1883.9</v>
      </c>
    </row>
    <row r="245" spans="1:8">
      <c r="A245">
        <v>1343</v>
      </c>
      <c r="B245" t="s">
        <v>311</v>
      </c>
      <c r="C245" t="s">
        <v>38</v>
      </c>
      <c r="D245" t="s">
        <v>22</v>
      </c>
      <c r="E245" t="s">
        <v>187</v>
      </c>
      <c r="F245" t="s">
        <v>30</v>
      </c>
      <c r="G245" t="s">
        <v>31</v>
      </c>
      <c r="H245">
        <v>951.87</v>
      </c>
    </row>
    <row r="246" spans="1:8">
      <c r="A246">
        <v>1012</v>
      </c>
      <c r="B246" t="s">
        <v>89</v>
      </c>
      <c r="C246" t="s">
        <v>33</v>
      </c>
      <c r="D246" t="s">
        <v>90</v>
      </c>
      <c r="E246" t="s">
        <v>91</v>
      </c>
      <c r="F246" t="s">
        <v>45</v>
      </c>
      <c r="G246" t="s">
        <v>13</v>
      </c>
      <c r="H246">
        <v>899.75</v>
      </c>
    </row>
    <row r="247" spans="1:8">
      <c r="A247">
        <v>1220</v>
      </c>
      <c r="B247" t="s">
        <v>266</v>
      </c>
      <c r="C247" t="s">
        <v>21</v>
      </c>
      <c r="D247" t="s">
        <v>22</v>
      </c>
      <c r="E247" t="s">
        <v>82</v>
      </c>
      <c r="F247" t="s">
        <v>30</v>
      </c>
      <c r="G247" t="s">
        <v>42</v>
      </c>
      <c r="H247">
        <v>2163.55</v>
      </c>
    </row>
    <row r="248" spans="1:8">
      <c r="A248">
        <v>1087</v>
      </c>
      <c r="B248" t="s">
        <v>312</v>
      </c>
      <c r="C248" t="s">
        <v>9</v>
      </c>
      <c r="D248" t="s">
        <v>65</v>
      </c>
      <c r="E248" t="s">
        <v>74</v>
      </c>
      <c r="F248" t="s">
        <v>24</v>
      </c>
      <c r="G248" t="s">
        <v>13</v>
      </c>
      <c r="H248">
        <v>2740.97</v>
      </c>
    </row>
    <row r="249" spans="1:8">
      <c r="A249">
        <v>1198</v>
      </c>
      <c r="B249" t="s">
        <v>313</v>
      </c>
      <c r="C249" t="s">
        <v>57</v>
      </c>
      <c r="D249" t="s">
        <v>90</v>
      </c>
      <c r="E249" t="s">
        <v>63</v>
      </c>
      <c r="F249" t="s">
        <v>12</v>
      </c>
      <c r="H249">
        <v>309.84</v>
      </c>
    </row>
    <row r="250" spans="1:8">
      <c r="A250">
        <v>1213</v>
      </c>
      <c r="B250" t="s">
        <v>314</v>
      </c>
      <c r="C250" t="s">
        <v>41</v>
      </c>
      <c r="D250" t="s">
        <v>99</v>
      </c>
      <c r="E250" t="s">
        <v>91</v>
      </c>
      <c r="F250" t="s">
        <v>45</v>
      </c>
      <c r="G250" t="s">
        <v>13</v>
      </c>
      <c r="H250">
        <v>2780.33</v>
      </c>
    </row>
    <row r="251" spans="1:8">
      <c r="A251">
        <v>1367</v>
      </c>
      <c r="B251" t="s">
        <v>315</v>
      </c>
      <c r="C251" t="s">
        <v>38</v>
      </c>
      <c r="D251" t="s">
        <v>50</v>
      </c>
      <c r="E251" t="s">
        <v>74</v>
      </c>
      <c r="F251" t="s">
        <v>30</v>
      </c>
      <c r="G251" t="s">
        <v>25</v>
      </c>
    </row>
    <row r="252" spans="1:8">
      <c r="A252">
        <v>1234</v>
      </c>
      <c r="B252" t="s">
        <v>316</v>
      </c>
      <c r="C252" t="s">
        <v>15</v>
      </c>
      <c r="D252" t="s">
        <v>34</v>
      </c>
      <c r="E252" t="s">
        <v>147</v>
      </c>
      <c r="F252" t="s">
        <v>54</v>
      </c>
      <c r="G252" t="s">
        <v>19</v>
      </c>
      <c r="H252">
        <v>473.15</v>
      </c>
    </row>
    <row r="253" spans="1:8">
      <c r="A253">
        <v>1351</v>
      </c>
      <c r="B253" t="s">
        <v>145</v>
      </c>
      <c r="C253" t="s">
        <v>27</v>
      </c>
      <c r="D253" t="s">
        <v>22</v>
      </c>
      <c r="E253" t="s">
        <v>78</v>
      </c>
      <c r="F253" t="s">
        <v>24</v>
      </c>
      <c r="G253" t="s">
        <v>31</v>
      </c>
    </row>
    <row r="254" spans="1:8">
      <c r="A254">
        <v>1164</v>
      </c>
      <c r="B254" t="s">
        <v>317</v>
      </c>
      <c r="C254" t="s">
        <v>41</v>
      </c>
      <c r="D254" t="s">
        <v>99</v>
      </c>
      <c r="E254" t="s">
        <v>58</v>
      </c>
      <c r="F254" t="s">
        <v>12</v>
      </c>
      <c r="G254" t="s">
        <v>42</v>
      </c>
      <c r="H254">
        <v>953.96</v>
      </c>
    </row>
    <row r="255" spans="1:8">
      <c r="A255">
        <v>1175</v>
      </c>
      <c r="B255" t="s">
        <v>318</v>
      </c>
      <c r="C255" t="s">
        <v>21</v>
      </c>
      <c r="D255" t="s">
        <v>90</v>
      </c>
      <c r="E255" t="s">
        <v>100</v>
      </c>
      <c r="F255" t="s">
        <v>18</v>
      </c>
      <c r="G255" t="s">
        <v>19</v>
      </c>
      <c r="H255">
        <v>739.1</v>
      </c>
    </row>
    <row r="256" spans="1:8">
      <c r="A256">
        <v>1287</v>
      </c>
      <c r="B256" t="s">
        <v>319</v>
      </c>
      <c r="C256" t="s">
        <v>27</v>
      </c>
      <c r="D256" t="s">
        <v>28</v>
      </c>
      <c r="E256" t="s">
        <v>80</v>
      </c>
      <c r="F256" t="s">
        <v>24</v>
      </c>
      <c r="G256" t="s">
        <v>31</v>
      </c>
      <c r="H256">
        <v>504.33</v>
      </c>
    </row>
    <row r="257" spans="1:8">
      <c r="A257">
        <v>1325</v>
      </c>
      <c r="B257" t="s">
        <v>320</v>
      </c>
      <c r="C257" t="s">
        <v>27</v>
      </c>
      <c r="D257" t="s">
        <v>47</v>
      </c>
      <c r="E257" t="s">
        <v>115</v>
      </c>
      <c r="F257" t="s">
        <v>24</v>
      </c>
      <c r="G257" t="s">
        <v>42</v>
      </c>
      <c r="H257">
        <v>2913.12</v>
      </c>
    </row>
    <row r="258" spans="1:8">
      <c r="A258">
        <v>1096</v>
      </c>
      <c r="B258" t="s">
        <v>321</v>
      </c>
      <c r="C258" t="s">
        <v>15</v>
      </c>
      <c r="D258" t="s">
        <v>65</v>
      </c>
      <c r="E258" t="s">
        <v>238</v>
      </c>
      <c r="F258" t="s">
        <v>18</v>
      </c>
      <c r="G258" t="s">
        <v>13</v>
      </c>
      <c r="H258">
        <v>456.98</v>
      </c>
    </row>
    <row r="259" spans="1:8">
      <c r="A259">
        <v>1261</v>
      </c>
      <c r="B259" t="s">
        <v>322</v>
      </c>
      <c r="C259" t="s">
        <v>15</v>
      </c>
      <c r="D259" t="s">
        <v>10</v>
      </c>
      <c r="E259" t="s">
        <v>97</v>
      </c>
      <c r="F259" t="s">
        <v>18</v>
      </c>
      <c r="G259" t="s">
        <v>13</v>
      </c>
      <c r="H259">
        <v>904.93</v>
      </c>
    </row>
    <row r="260" spans="1:8">
      <c r="A260">
        <v>1063</v>
      </c>
      <c r="B260" t="s">
        <v>301</v>
      </c>
      <c r="C260" t="s">
        <v>15</v>
      </c>
      <c r="D260" t="s">
        <v>47</v>
      </c>
      <c r="E260" t="s">
        <v>136</v>
      </c>
      <c r="F260" t="s">
        <v>12</v>
      </c>
      <c r="G260" t="s">
        <v>31</v>
      </c>
      <c r="H260">
        <v>2846.35</v>
      </c>
    </row>
    <row r="261" spans="1:8">
      <c r="A261">
        <v>1222</v>
      </c>
      <c r="B261" t="s">
        <v>323</v>
      </c>
      <c r="C261" t="s">
        <v>9</v>
      </c>
      <c r="D261" t="s">
        <v>28</v>
      </c>
      <c r="E261" t="s">
        <v>48</v>
      </c>
      <c r="F261" t="s">
        <v>24</v>
      </c>
      <c r="G261" t="s">
        <v>13</v>
      </c>
      <c r="H261">
        <v>2976.82</v>
      </c>
    </row>
    <row r="262" spans="1:8">
      <c r="A262">
        <v>1095</v>
      </c>
      <c r="B262" t="s">
        <v>324</v>
      </c>
      <c r="C262" t="s">
        <v>27</v>
      </c>
      <c r="D262" t="s">
        <v>47</v>
      </c>
      <c r="E262" t="s">
        <v>48</v>
      </c>
      <c r="F262" t="s">
        <v>54</v>
      </c>
      <c r="G262" t="s">
        <v>76</v>
      </c>
      <c r="H262">
        <v>846.32</v>
      </c>
    </row>
    <row r="263" spans="1:8">
      <c r="A263">
        <v>1013</v>
      </c>
      <c r="B263" t="s">
        <v>325</v>
      </c>
      <c r="C263" t="s">
        <v>38</v>
      </c>
      <c r="D263" t="s">
        <v>10</v>
      </c>
      <c r="E263" t="s">
        <v>48</v>
      </c>
      <c r="F263" t="s">
        <v>24</v>
      </c>
      <c r="G263" t="s">
        <v>19</v>
      </c>
      <c r="H263">
        <v>1408.73</v>
      </c>
    </row>
    <row r="264" spans="1:8">
      <c r="A264">
        <v>1017</v>
      </c>
      <c r="B264" t="s">
        <v>326</v>
      </c>
      <c r="C264" t="s">
        <v>57</v>
      </c>
      <c r="D264" t="s">
        <v>65</v>
      </c>
      <c r="E264" t="s">
        <v>115</v>
      </c>
      <c r="F264" t="s">
        <v>18</v>
      </c>
      <c r="G264" t="s">
        <v>42</v>
      </c>
      <c r="H264">
        <v>449.82</v>
      </c>
    </row>
    <row r="265" spans="1:8">
      <c r="A265">
        <v>1299</v>
      </c>
      <c r="B265" t="s">
        <v>327</v>
      </c>
      <c r="C265" t="s">
        <v>9</v>
      </c>
      <c r="D265" t="s">
        <v>99</v>
      </c>
      <c r="E265" t="s">
        <v>141</v>
      </c>
      <c r="F265" t="s">
        <v>12</v>
      </c>
      <c r="G265" t="s">
        <v>13</v>
      </c>
      <c r="H265">
        <v>466.96</v>
      </c>
    </row>
    <row r="266" spans="1:8">
      <c r="A266">
        <v>1246</v>
      </c>
      <c r="B266" t="s">
        <v>328</v>
      </c>
      <c r="C266" t="s">
        <v>15</v>
      </c>
      <c r="D266" t="s">
        <v>50</v>
      </c>
      <c r="E266" t="s">
        <v>39</v>
      </c>
      <c r="F266" t="s">
        <v>54</v>
      </c>
      <c r="G266" t="s">
        <v>19</v>
      </c>
      <c r="H266">
        <v>506.18</v>
      </c>
    </row>
    <row r="267" spans="1:8">
      <c r="A267">
        <v>1207</v>
      </c>
      <c r="B267" t="s">
        <v>329</v>
      </c>
      <c r="C267" t="s">
        <v>21</v>
      </c>
      <c r="D267" t="s">
        <v>60</v>
      </c>
      <c r="E267" t="s">
        <v>120</v>
      </c>
      <c r="F267" t="s">
        <v>18</v>
      </c>
      <c r="G267" t="s">
        <v>36</v>
      </c>
      <c r="H267">
        <v>496.82</v>
      </c>
    </row>
    <row r="268" spans="1:8">
      <c r="A268">
        <v>1090</v>
      </c>
      <c r="B268" t="s">
        <v>330</v>
      </c>
      <c r="C268" t="s">
        <v>9</v>
      </c>
      <c r="D268" t="s">
        <v>50</v>
      </c>
      <c r="E268" t="s">
        <v>72</v>
      </c>
      <c r="F268" t="s">
        <v>12</v>
      </c>
      <c r="H268">
        <v>2164.29</v>
      </c>
    </row>
    <row r="269" spans="1:8">
      <c r="A269">
        <v>1271</v>
      </c>
      <c r="B269" t="s">
        <v>331</v>
      </c>
      <c r="C269" t="s">
        <v>15</v>
      </c>
      <c r="D269" t="s">
        <v>90</v>
      </c>
      <c r="E269" t="s">
        <v>78</v>
      </c>
      <c r="F269" t="s">
        <v>24</v>
      </c>
      <c r="G269" t="s">
        <v>36</v>
      </c>
    </row>
    <row r="270" spans="1:8">
      <c r="A270">
        <v>1039</v>
      </c>
      <c r="B270" t="s">
        <v>332</v>
      </c>
      <c r="C270" t="s">
        <v>38</v>
      </c>
      <c r="D270" t="s">
        <v>65</v>
      </c>
      <c r="E270" t="s">
        <v>125</v>
      </c>
      <c r="F270" t="s">
        <v>12</v>
      </c>
      <c r="G270" t="s">
        <v>31</v>
      </c>
      <c r="H270">
        <v>1020.22</v>
      </c>
    </row>
    <row r="271" spans="1:8">
      <c r="A271">
        <v>1086</v>
      </c>
      <c r="B271" t="s">
        <v>228</v>
      </c>
      <c r="C271" t="s">
        <v>41</v>
      </c>
      <c r="D271" t="s">
        <v>47</v>
      </c>
      <c r="E271" t="s">
        <v>91</v>
      </c>
      <c r="F271" t="s">
        <v>30</v>
      </c>
      <c r="G271" t="s">
        <v>25</v>
      </c>
      <c r="H271">
        <v>1065.88</v>
      </c>
    </row>
    <row r="272" spans="1:8">
      <c r="A272">
        <v>1181</v>
      </c>
      <c r="B272" t="s">
        <v>333</v>
      </c>
      <c r="C272" t="s">
        <v>57</v>
      </c>
      <c r="D272" t="s">
        <v>22</v>
      </c>
      <c r="E272" t="s">
        <v>256</v>
      </c>
      <c r="F272" t="s">
        <v>30</v>
      </c>
      <c r="G272" t="s">
        <v>13</v>
      </c>
      <c r="H272">
        <v>545.18</v>
      </c>
    </row>
    <row r="273" spans="1:8">
      <c r="A273">
        <v>1282</v>
      </c>
      <c r="B273" t="s">
        <v>334</v>
      </c>
      <c r="C273" t="s">
        <v>38</v>
      </c>
      <c r="D273" t="s">
        <v>47</v>
      </c>
      <c r="E273" t="s">
        <v>147</v>
      </c>
      <c r="F273" t="s">
        <v>54</v>
      </c>
      <c r="G273" t="s">
        <v>36</v>
      </c>
      <c r="H273">
        <v>914.67</v>
      </c>
    </row>
    <row r="274" spans="1:8">
      <c r="A274">
        <v>1145</v>
      </c>
      <c r="B274" t="s">
        <v>335</v>
      </c>
      <c r="C274" t="s">
        <v>9</v>
      </c>
      <c r="D274" t="s">
        <v>34</v>
      </c>
      <c r="E274" t="s">
        <v>242</v>
      </c>
      <c r="F274" t="s">
        <v>54</v>
      </c>
      <c r="G274" t="s">
        <v>25</v>
      </c>
      <c r="H274">
        <v>3171.81</v>
      </c>
    </row>
    <row r="275" spans="1:8">
      <c r="A275">
        <v>1158</v>
      </c>
      <c r="B275" t="s">
        <v>336</v>
      </c>
      <c r="C275" t="s">
        <v>38</v>
      </c>
      <c r="D275" t="s">
        <v>65</v>
      </c>
      <c r="E275" t="s">
        <v>78</v>
      </c>
      <c r="F275" t="s">
        <v>12</v>
      </c>
      <c r="G275" t="s">
        <v>13</v>
      </c>
      <c r="H275">
        <v>290.17</v>
      </c>
    </row>
    <row r="276" spans="1:8">
      <c r="A276">
        <v>1340</v>
      </c>
      <c r="B276" t="s">
        <v>205</v>
      </c>
      <c r="C276" t="s">
        <v>38</v>
      </c>
      <c r="D276" t="s">
        <v>95</v>
      </c>
      <c r="E276" t="s">
        <v>97</v>
      </c>
      <c r="F276" t="s">
        <v>18</v>
      </c>
      <c r="G276" t="s">
        <v>36</v>
      </c>
    </row>
    <row r="277" spans="1:8">
      <c r="A277">
        <v>1303</v>
      </c>
      <c r="B277" t="s">
        <v>337</v>
      </c>
      <c r="C277" t="s">
        <v>9</v>
      </c>
      <c r="D277" t="s">
        <v>34</v>
      </c>
      <c r="E277" t="s">
        <v>51</v>
      </c>
      <c r="F277" t="s">
        <v>45</v>
      </c>
      <c r="G277" t="s">
        <v>76</v>
      </c>
      <c r="H277">
        <v>503.15</v>
      </c>
    </row>
    <row r="278" spans="1:8">
      <c r="A278">
        <v>1304</v>
      </c>
      <c r="B278" t="s">
        <v>146</v>
      </c>
      <c r="C278" t="s">
        <v>57</v>
      </c>
      <c r="D278" t="s">
        <v>10</v>
      </c>
      <c r="E278" t="s">
        <v>256</v>
      </c>
      <c r="F278" t="s">
        <v>24</v>
      </c>
      <c r="G278" t="s">
        <v>25</v>
      </c>
      <c r="H278">
        <v>281.37</v>
      </c>
    </row>
    <row r="279" spans="1:8">
      <c r="A279">
        <v>1347</v>
      </c>
      <c r="B279" t="s">
        <v>221</v>
      </c>
      <c r="C279" t="s">
        <v>41</v>
      </c>
      <c r="D279" t="s">
        <v>28</v>
      </c>
      <c r="E279" t="s">
        <v>102</v>
      </c>
      <c r="F279" t="s">
        <v>45</v>
      </c>
      <c r="H279">
        <v>3008.9</v>
      </c>
    </row>
    <row r="280" spans="1:8">
      <c r="A280">
        <v>1200</v>
      </c>
      <c r="B280" t="s">
        <v>258</v>
      </c>
      <c r="D280" t="s">
        <v>50</v>
      </c>
      <c r="E280" t="s">
        <v>84</v>
      </c>
      <c r="F280" t="s">
        <v>18</v>
      </c>
      <c r="G280" t="s">
        <v>76</v>
      </c>
      <c r="H280">
        <v>2937.22</v>
      </c>
    </row>
    <row r="281" spans="1:8">
      <c r="A281">
        <v>1071</v>
      </c>
      <c r="B281" t="s">
        <v>338</v>
      </c>
      <c r="C281" t="s">
        <v>41</v>
      </c>
      <c r="D281" t="s">
        <v>90</v>
      </c>
      <c r="E281" t="s">
        <v>187</v>
      </c>
      <c r="F281" t="s">
        <v>54</v>
      </c>
      <c r="G281" t="s">
        <v>42</v>
      </c>
      <c r="H281">
        <v>794.11</v>
      </c>
    </row>
    <row r="282" spans="1:8">
      <c r="A282">
        <v>1385</v>
      </c>
      <c r="B282" t="s">
        <v>339</v>
      </c>
      <c r="C282" t="s">
        <v>57</v>
      </c>
      <c r="D282" t="s">
        <v>16</v>
      </c>
      <c r="E282" t="s">
        <v>86</v>
      </c>
      <c r="F282" t="s">
        <v>30</v>
      </c>
      <c r="G282" t="s">
        <v>13</v>
      </c>
      <c r="H282">
        <v>1062.36</v>
      </c>
    </row>
    <row r="283" spans="1:8">
      <c r="A283">
        <v>1349</v>
      </c>
      <c r="B283" t="s">
        <v>340</v>
      </c>
      <c r="C283" t="s">
        <v>57</v>
      </c>
      <c r="D283" t="s">
        <v>28</v>
      </c>
      <c r="E283" t="s">
        <v>72</v>
      </c>
      <c r="F283" t="s">
        <v>45</v>
      </c>
      <c r="G283" t="s">
        <v>76</v>
      </c>
      <c r="H283">
        <v>831.7</v>
      </c>
    </row>
    <row r="284" spans="1:8">
      <c r="A284">
        <v>1319</v>
      </c>
      <c r="B284" t="s">
        <v>341</v>
      </c>
      <c r="C284" t="s">
        <v>33</v>
      </c>
      <c r="D284" t="s">
        <v>65</v>
      </c>
      <c r="E284" t="s">
        <v>86</v>
      </c>
      <c r="F284" t="s">
        <v>18</v>
      </c>
      <c r="G284" t="s">
        <v>31</v>
      </c>
      <c r="H284">
        <v>514.66</v>
      </c>
    </row>
    <row r="285" spans="1:8">
      <c r="A285">
        <v>1327</v>
      </c>
      <c r="B285" t="s">
        <v>342</v>
      </c>
      <c r="C285" t="s">
        <v>33</v>
      </c>
      <c r="D285" t="s">
        <v>65</v>
      </c>
      <c r="E285" t="s">
        <v>86</v>
      </c>
      <c r="F285" t="s">
        <v>24</v>
      </c>
      <c r="G285" t="s">
        <v>42</v>
      </c>
      <c r="H285">
        <v>325.11</v>
      </c>
    </row>
    <row r="286" spans="1:8">
      <c r="A286">
        <v>1387</v>
      </c>
      <c r="B286" t="s">
        <v>343</v>
      </c>
      <c r="C286" t="s">
        <v>21</v>
      </c>
      <c r="D286" t="s">
        <v>16</v>
      </c>
      <c r="E286" t="s">
        <v>115</v>
      </c>
      <c r="F286" t="s">
        <v>18</v>
      </c>
      <c r="H286">
        <v>777.16</v>
      </c>
    </row>
    <row r="287" spans="1:8">
      <c r="A287">
        <v>1396</v>
      </c>
      <c r="B287" t="s">
        <v>344</v>
      </c>
      <c r="C287" t="s">
        <v>38</v>
      </c>
      <c r="D287" t="s">
        <v>60</v>
      </c>
      <c r="E287" t="s">
        <v>115</v>
      </c>
      <c r="F287" t="s">
        <v>45</v>
      </c>
      <c r="G287" t="s">
        <v>42</v>
      </c>
      <c r="H287">
        <v>1631.71</v>
      </c>
    </row>
    <row r="288" spans="1:8">
      <c r="A288">
        <v>1133</v>
      </c>
      <c r="B288" t="s">
        <v>345</v>
      </c>
      <c r="C288" t="s">
        <v>15</v>
      </c>
      <c r="D288" t="s">
        <v>65</v>
      </c>
      <c r="E288" t="s">
        <v>243</v>
      </c>
      <c r="F288" t="s">
        <v>30</v>
      </c>
      <c r="G288" t="s">
        <v>31</v>
      </c>
      <c r="H288">
        <v>1073.03</v>
      </c>
    </row>
    <row r="289" spans="1:8">
      <c r="A289">
        <v>1060</v>
      </c>
      <c r="B289" t="s">
        <v>110</v>
      </c>
      <c r="C289" t="s">
        <v>15</v>
      </c>
      <c r="D289" t="s">
        <v>50</v>
      </c>
      <c r="E289" t="s">
        <v>17</v>
      </c>
      <c r="F289" t="s">
        <v>18</v>
      </c>
      <c r="G289" t="s">
        <v>31</v>
      </c>
      <c r="H289">
        <v>1556.15</v>
      </c>
    </row>
    <row r="290" spans="1:8">
      <c r="A290">
        <v>1313</v>
      </c>
      <c r="B290" t="s">
        <v>346</v>
      </c>
      <c r="C290" t="s">
        <v>57</v>
      </c>
      <c r="D290" t="s">
        <v>90</v>
      </c>
      <c r="E290" t="s">
        <v>93</v>
      </c>
      <c r="F290" t="s">
        <v>24</v>
      </c>
      <c r="H290">
        <v>2776.35</v>
      </c>
    </row>
    <row r="291" spans="1:8">
      <c r="A291">
        <v>1399</v>
      </c>
      <c r="B291" t="s">
        <v>347</v>
      </c>
      <c r="C291" t="s">
        <v>15</v>
      </c>
      <c r="D291" t="s">
        <v>28</v>
      </c>
      <c r="E291" t="s">
        <v>74</v>
      </c>
      <c r="F291" t="s">
        <v>24</v>
      </c>
      <c r="G291" t="s">
        <v>25</v>
      </c>
      <c r="H291">
        <v>2064.76</v>
      </c>
    </row>
    <row r="292" spans="1:8">
      <c r="A292">
        <v>1100</v>
      </c>
      <c r="B292" t="s">
        <v>348</v>
      </c>
      <c r="C292" t="s">
        <v>21</v>
      </c>
      <c r="D292" t="s">
        <v>99</v>
      </c>
      <c r="E292" t="s">
        <v>230</v>
      </c>
      <c r="F292" t="s">
        <v>24</v>
      </c>
      <c r="G292" t="s">
        <v>76</v>
      </c>
      <c r="H292">
        <v>1572.5</v>
      </c>
    </row>
    <row r="293" spans="1:8">
      <c r="A293">
        <v>1019</v>
      </c>
      <c r="B293" t="s">
        <v>349</v>
      </c>
      <c r="C293" t="s">
        <v>41</v>
      </c>
      <c r="D293" t="s">
        <v>50</v>
      </c>
      <c r="E293" t="s">
        <v>93</v>
      </c>
      <c r="F293" t="s">
        <v>54</v>
      </c>
      <c r="G293" t="s">
        <v>31</v>
      </c>
      <c r="H293">
        <v>1971.43</v>
      </c>
    </row>
    <row r="294" spans="1:8">
      <c r="A294">
        <v>1320</v>
      </c>
      <c r="B294" t="s">
        <v>350</v>
      </c>
      <c r="C294" t="s">
        <v>15</v>
      </c>
      <c r="D294" t="s">
        <v>60</v>
      </c>
      <c r="E294" t="s">
        <v>194</v>
      </c>
      <c r="F294" t="s">
        <v>18</v>
      </c>
      <c r="G294" t="s">
        <v>13</v>
      </c>
      <c r="H294">
        <v>508.23</v>
      </c>
    </row>
    <row r="295" spans="1:8">
      <c r="A295">
        <v>1386</v>
      </c>
      <c r="B295" t="s">
        <v>351</v>
      </c>
      <c r="C295" t="s">
        <v>41</v>
      </c>
      <c r="D295" t="s">
        <v>95</v>
      </c>
      <c r="E295" t="s">
        <v>88</v>
      </c>
      <c r="F295" t="s">
        <v>54</v>
      </c>
      <c r="H295">
        <v>2060.32</v>
      </c>
    </row>
    <row r="296" spans="1:8">
      <c r="A296">
        <v>1264</v>
      </c>
      <c r="B296" t="s">
        <v>352</v>
      </c>
      <c r="C296" t="s">
        <v>38</v>
      </c>
      <c r="D296" t="s">
        <v>60</v>
      </c>
      <c r="E296" t="s">
        <v>158</v>
      </c>
      <c r="F296" t="s">
        <v>45</v>
      </c>
      <c r="G296" t="s">
        <v>42</v>
      </c>
      <c r="H296">
        <v>530.31</v>
      </c>
    </row>
    <row r="297" spans="1:8">
      <c r="A297">
        <v>1276</v>
      </c>
      <c r="B297" t="s">
        <v>353</v>
      </c>
      <c r="C297" t="s">
        <v>15</v>
      </c>
      <c r="D297" t="s">
        <v>50</v>
      </c>
      <c r="E297" t="s">
        <v>198</v>
      </c>
      <c r="F297" t="s">
        <v>54</v>
      </c>
      <c r="G297" t="s">
        <v>31</v>
      </c>
      <c r="H297">
        <v>1002.12</v>
      </c>
    </row>
    <row r="298" spans="1:8">
      <c r="A298">
        <v>1008</v>
      </c>
      <c r="B298" t="s">
        <v>354</v>
      </c>
      <c r="C298" t="s">
        <v>15</v>
      </c>
      <c r="D298" t="s">
        <v>22</v>
      </c>
      <c r="E298" t="s">
        <v>155</v>
      </c>
      <c r="F298" t="s">
        <v>18</v>
      </c>
      <c r="G298" t="s">
        <v>42</v>
      </c>
      <c r="H298">
        <v>1924.91</v>
      </c>
    </row>
    <row r="299" spans="1:8">
      <c r="A299">
        <v>1283</v>
      </c>
      <c r="B299" t="s">
        <v>293</v>
      </c>
      <c r="C299" t="s">
        <v>57</v>
      </c>
      <c r="D299" t="s">
        <v>47</v>
      </c>
      <c r="E299" t="s">
        <v>248</v>
      </c>
      <c r="F299" t="s">
        <v>54</v>
      </c>
      <c r="G299" t="s">
        <v>13</v>
      </c>
      <c r="H299">
        <v>1851.94</v>
      </c>
    </row>
    <row r="300" spans="1:8">
      <c r="A300">
        <v>1092</v>
      </c>
      <c r="B300" t="s">
        <v>355</v>
      </c>
      <c r="C300" t="s">
        <v>27</v>
      </c>
      <c r="D300" t="s">
        <v>50</v>
      </c>
      <c r="E300" t="s">
        <v>187</v>
      </c>
      <c r="F300" t="s">
        <v>24</v>
      </c>
      <c r="G300" t="s">
        <v>13</v>
      </c>
      <c r="H300">
        <v>297.18</v>
      </c>
    </row>
    <row r="301" spans="1:8">
      <c r="A301">
        <v>1252</v>
      </c>
      <c r="B301" t="s">
        <v>356</v>
      </c>
      <c r="C301" t="s">
        <v>41</v>
      </c>
      <c r="D301" t="s">
        <v>47</v>
      </c>
      <c r="E301" t="s">
        <v>11</v>
      </c>
      <c r="F301" t="s">
        <v>45</v>
      </c>
      <c r="G301" t="s">
        <v>25</v>
      </c>
      <c r="H301">
        <v>3114.66</v>
      </c>
    </row>
    <row r="302" spans="1:8">
      <c r="A302">
        <v>1032</v>
      </c>
      <c r="B302" t="s">
        <v>357</v>
      </c>
      <c r="D302" t="s">
        <v>47</v>
      </c>
      <c r="E302" t="s">
        <v>198</v>
      </c>
      <c r="F302" t="s">
        <v>30</v>
      </c>
      <c r="G302" t="s">
        <v>13</v>
      </c>
      <c r="H302">
        <v>1352</v>
      </c>
    </row>
    <row r="303" spans="1:8">
      <c r="A303">
        <v>1135</v>
      </c>
      <c r="B303" t="s">
        <v>304</v>
      </c>
      <c r="C303" t="s">
        <v>27</v>
      </c>
      <c r="D303" t="s">
        <v>22</v>
      </c>
      <c r="E303" t="s">
        <v>93</v>
      </c>
      <c r="F303" t="s">
        <v>18</v>
      </c>
      <c r="G303" t="s">
        <v>42</v>
      </c>
      <c r="H303">
        <v>524.97</v>
      </c>
    </row>
    <row r="304" spans="1:8">
      <c r="A304">
        <v>1022</v>
      </c>
      <c r="B304" t="s">
        <v>358</v>
      </c>
      <c r="C304" t="s">
        <v>9</v>
      </c>
      <c r="D304" t="s">
        <v>34</v>
      </c>
      <c r="E304" t="s">
        <v>63</v>
      </c>
      <c r="F304" t="s">
        <v>45</v>
      </c>
      <c r="H304">
        <v>535.39</v>
      </c>
    </row>
    <row r="305" spans="1:8">
      <c r="A305">
        <v>1062</v>
      </c>
      <c r="B305" t="s">
        <v>359</v>
      </c>
      <c r="C305" t="s">
        <v>15</v>
      </c>
      <c r="D305" t="s">
        <v>60</v>
      </c>
      <c r="E305" t="s">
        <v>232</v>
      </c>
      <c r="F305" t="s">
        <v>45</v>
      </c>
      <c r="G305" t="s">
        <v>13</v>
      </c>
      <c r="H305">
        <v>934.29</v>
      </c>
    </row>
    <row r="306" spans="1:8">
      <c r="A306">
        <v>1328</v>
      </c>
      <c r="B306" t="s">
        <v>257</v>
      </c>
      <c r="C306" t="s">
        <v>33</v>
      </c>
      <c r="D306" t="s">
        <v>34</v>
      </c>
      <c r="E306" t="s">
        <v>232</v>
      </c>
      <c r="F306" t="s">
        <v>54</v>
      </c>
      <c r="G306" t="s">
        <v>31</v>
      </c>
      <c r="H306">
        <v>901.38</v>
      </c>
    </row>
    <row r="307" spans="1:8">
      <c r="A307">
        <v>1215</v>
      </c>
      <c r="B307" t="s">
        <v>360</v>
      </c>
      <c r="C307" t="s">
        <v>27</v>
      </c>
      <c r="D307" t="s">
        <v>16</v>
      </c>
      <c r="E307" t="s">
        <v>243</v>
      </c>
      <c r="F307" t="s">
        <v>30</v>
      </c>
      <c r="G307" t="s">
        <v>13</v>
      </c>
      <c r="H307">
        <v>2190.39</v>
      </c>
    </row>
    <row r="308" spans="1:8">
      <c r="A308">
        <v>1344</v>
      </c>
      <c r="B308" t="s">
        <v>361</v>
      </c>
      <c r="C308" t="s">
        <v>27</v>
      </c>
      <c r="D308" t="s">
        <v>22</v>
      </c>
      <c r="E308" t="s">
        <v>243</v>
      </c>
      <c r="F308" t="s">
        <v>18</v>
      </c>
      <c r="G308" t="s">
        <v>42</v>
      </c>
      <c r="H308">
        <v>1553.21</v>
      </c>
    </row>
    <row r="309" spans="1:8">
      <c r="A309">
        <v>1353</v>
      </c>
      <c r="B309" t="s">
        <v>362</v>
      </c>
      <c r="C309" t="s">
        <v>27</v>
      </c>
      <c r="D309" t="s">
        <v>10</v>
      </c>
      <c r="E309" t="s">
        <v>97</v>
      </c>
      <c r="F309" t="s">
        <v>30</v>
      </c>
      <c r="G309" t="s">
        <v>76</v>
      </c>
      <c r="H309">
        <v>474.29</v>
      </c>
    </row>
    <row r="310" spans="1:8">
      <c r="A310">
        <v>1257</v>
      </c>
      <c r="B310" t="s">
        <v>266</v>
      </c>
      <c r="C310" t="s">
        <v>33</v>
      </c>
      <c r="D310" t="s">
        <v>50</v>
      </c>
      <c r="E310" t="s">
        <v>108</v>
      </c>
      <c r="F310" t="s">
        <v>24</v>
      </c>
      <c r="G310" t="s">
        <v>55</v>
      </c>
      <c r="H310">
        <v>1999.19</v>
      </c>
    </row>
    <row r="311" spans="1:8">
      <c r="A311">
        <v>1052</v>
      </c>
      <c r="B311" t="s">
        <v>191</v>
      </c>
      <c r="C311" t="s">
        <v>15</v>
      </c>
      <c r="D311" t="s">
        <v>50</v>
      </c>
      <c r="E311" t="s">
        <v>129</v>
      </c>
      <c r="F311" t="s">
        <v>30</v>
      </c>
      <c r="G311" t="s">
        <v>76</v>
      </c>
      <c r="H311">
        <v>3227.32</v>
      </c>
    </row>
    <row r="312" spans="1:8">
      <c r="A312">
        <v>1345</v>
      </c>
      <c r="B312" t="s">
        <v>363</v>
      </c>
      <c r="C312" t="s">
        <v>57</v>
      </c>
      <c r="D312" t="s">
        <v>47</v>
      </c>
      <c r="E312" t="s">
        <v>141</v>
      </c>
      <c r="F312" t="s">
        <v>12</v>
      </c>
      <c r="G312" t="s">
        <v>31</v>
      </c>
      <c r="H312">
        <v>289.3</v>
      </c>
    </row>
    <row r="313" spans="1:8">
      <c r="A313">
        <v>1173</v>
      </c>
      <c r="B313" t="s">
        <v>364</v>
      </c>
      <c r="C313" t="s">
        <v>38</v>
      </c>
      <c r="D313" t="s">
        <v>95</v>
      </c>
      <c r="E313" t="s">
        <v>108</v>
      </c>
      <c r="F313" t="s">
        <v>24</v>
      </c>
      <c r="G313" t="s">
        <v>19</v>
      </c>
      <c r="H313">
        <v>739.61</v>
      </c>
    </row>
    <row r="314" spans="1:8">
      <c r="A314">
        <v>1035</v>
      </c>
      <c r="B314" t="s">
        <v>365</v>
      </c>
      <c r="C314" t="s">
        <v>27</v>
      </c>
      <c r="D314" t="s">
        <v>34</v>
      </c>
      <c r="E314" t="s">
        <v>84</v>
      </c>
      <c r="F314" t="s">
        <v>45</v>
      </c>
      <c r="G314" t="s">
        <v>76</v>
      </c>
      <c r="H314">
        <v>522.61</v>
      </c>
    </row>
    <row r="315" spans="1:8">
      <c r="A315">
        <v>1178</v>
      </c>
      <c r="B315" t="s">
        <v>366</v>
      </c>
      <c r="C315" t="s">
        <v>21</v>
      </c>
      <c r="D315" t="s">
        <v>10</v>
      </c>
      <c r="E315" t="s">
        <v>48</v>
      </c>
      <c r="F315" t="s">
        <v>45</v>
      </c>
      <c r="G315" t="s">
        <v>36</v>
      </c>
      <c r="H315">
        <v>3183.35</v>
      </c>
    </row>
    <row r="316" spans="1:8">
      <c r="A316">
        <v>1167</v>
      </c>
      <c r="B316" t="s">
        <v>367</v>
      </c>
      <c r="C316" t="s">
        <v>33</v>
      </c>
      <c r="D316" t="s">
        <v>95</v>
      </c>
      <c r="E316" t="s">
        <v>113</v>
      </c>
      <c r="F316" t="s">
        <v>54</v>
      </c>
      <c r="G316" t="s">
        <v>42</v>
      </c>
      <c r="H316">
        <v>501.94</v>
      </c>
    </row>
    <row r="317" spans="1:8">
      <c r="A317">
        <v>1226</v>
      </c>
      <c r="B317" t="s">
        <v>368</v>
      </c>
      <c r="C317" t="s">
        <v>9</v>
      </c>
      <c r="D317" t="s">
        <v>50</v>
      </c>
      <c r="E317" t="s">
        <v>102</v>
      </c>
      <c r="F317" t="s">
        <v>18</v>
      </c>
      <c r="G317" t="s">
        <v>19</v>
      </c>
      <c r="H317">
        <v>843.03</v>
      </c>
    </row>
    <row r="318" spans="1:8">
      <c r="A318">
        <v>1120</v>
      </c>
      <c r="B318" t="s">
        <v>369</v>
      </c>
      <c r="C318" t="s">
        <v>27</v>
      </c>
      <c r="D318" t="s">
        <v>10</v>
      </c>
      <c r="E318" t="s">
        <v>194</v>
      </c>
      <c r="F318" t="s">
        <v>45</v>
      </c>
      <c r="G318" t="s">
        <v>31</v>
      </c>
      <c r="H318">
        <v>318.84</v>
      </c>
    </row>
    <row r="319" spans="1:8">
      <c r="A319">
        <v>1275</v>
      </c>
      <c r="B319" t="s">
        <v>370</v>
      </c>
      <c r="C319" t="s">
        <v>27</v>
      </c>
      <c r="D319" t="s">
        <v>28</v>
      </c>
      <c r="E319" t="s">
        <v>242</v>
      </c>
      <c r="F319" t="s">
        <v>24</v>
      </c>
      <c r="G319" t="s">
        <v>31</v>
      </c>
      <c r="H319">
        <v>2847.58</v>
      </c>
    </row>
    <row r="320" spans="1:8">
      <c r="A320">
        <v>1044</v>
      </c>
      <c r="B320" t="s">
        <v>121</v>
      </c>
      <c r="C320" t="s">
        <v>41</v>
      </c>
      <c r="D320" t="s">
        <v>95</v>
      </c>
      <c r="E320" t="s">
        <v>238</v>
      </c>
      <c r="F320" t="s">
        <v>18</v>
      </c>
      <c r="G320" t="s">
        <v>19</v>
      </c>
      <c r="H320">
        <v>1057.69</v>
      </c>
    </row>
    <row r="321" spans="1:8">
      <c r="A321">
        <v>1300</v>
      </c>
      <c r="B321" t="s">
        <v>130</v>
      </c>
      <c r="C321" t="s">
        <v>33</v>
      </c>
      <c r="D321" t="s">
        <v>28</v>
      </c>
      <c r="E321" t="s">
        <v>63</v>
      </c>
      <c r="F321" t="s">
        <v>24</v>
      </c>
      <c r="G321" t="s">
        <v>31</v>
      </c>
      <c r="H321">
        <v>851.09</v>
      </c>
    </row>
    <row r="322" spans="1:8">
      <c r="A322">
        <v>1076</v>
      </c>
      <c r="B322" t="s">
        <v>371</v>
      </c>
      <c r="C322" t="s">
        <v>21</v>
      </c>
      <c r="D322" t="s">
        <v>99</v>
      </c>
      <c r="E322" t="s">
        <v>86</v>
      </c>
      <c r="F322" t="s">
        <v>12</v>
      </c>
      <c r="G322" t="s">
        <v>25</v>
      </c>
      <c r="H322">
        <v>2142.77</v>
      </c>
    </row>
    <row r="323" spans="1:8">
      <c r="A323">
        <v>1208</v>
      </c>
      <c r="B323" t="s">
        <v>372</v>
      </c>
      <c r="C323" t="s">
        <v>41</v>
      </c>
      <c r="D323" t="s">
        <v>16</v>
      </c>
      <c r="E323" t="s">
        <v>118</v>
      </c>
      <c r="F323" t="s">
        <v>24</v>
      </c>
      <c r="G323" t="s">
        <v>36</v>
      </c>
      <c r="H323">
        <v>2847.53</v>
      </c>
    </row>
    <row r="324" spans="1:8">
      <c r="A324">
        <v>1212</v>
      </c>
      <c r="B324" t="s">
        <v>348</v>
      </c>
      <c r="C324" t="s">
        <v>21</v>
      </c>
      <c r="D324" t="s">
        <v>99</v>
      </c>
      <c r="E324" t="s">
        <v>78</v>
      </c>
      <c r="F324" t="s">
        <v>18</v>
      </c>
      <c r="G324" t="s">
        <v>42</v>
      </c>
      <c r="H324">
        <v>271.81</v>
      </c>
    </row>
    <row r="325" spans="1:8">
      <c r="A325">
        <v>1267</v>
      </c>
      <c r="B325" t="s">
        <v>373</v>
      </c>
      <c r="C325" t="s">
        <v>21</v>
      </c>
      <c r="D325" t="s">
        <v>34</v>
      </c>
      <c r="E325" t="s">
        <v>97</v>
      </c>
      <c r="F325" t="s">
        <v>12</v>
      </c>
      <c r="G325" t="s">
        <v>55</v>
      </c>
      <c r="H325">
        <v>1365.17</v>
      </c>
    </row>
    <row r="326" spans="1:8">
      <c r="A326">
        <v>1311</v>
      </c>
      <c r="B326" t="s">
        <v>374</v>
      </c>
      <c r="C326" t="s">
        <v>15</v>
      </c>
      <c r="D326" t="s">
        <v>95</v>
      </c>
      <c r="E326" t="s">
        <v>115</v>
      </c>
      <c r="F326" t="s">
        <v>24</v>
      </c>
      <c r="G326" t="s">
        <v>19</v>
      </c>
      <c r="H326">
        <v>458.55</v>
      </c>
    </row>
    <row r="327" spans="1:8">
      <c r="A327">
        <v>1216</v>
      </c>
      <c r="B327" t="s">
        <v>375</v>
      </c>
      <c r="C327" t="s">
        <v>15</v>
      </c>
      <c r="D327" t="s">
        <v>16</v>
      </c>
      <c r="E327" t="s">
        <v>256</v>
      </c>
      <c r="F327" t="s">
        <v>18</v>
      </c>
      <c r="G327" t="s">
        <v>36</v>
      </c>
      <c r="H327">
        <v>968.26</v>
      </c>
    </row>
    <row r="328" spans="1:8">
      <c r="A328">
        <v>1197</v>
      </c>
      <c r="B328" t="s">
        <v>8</v>
      </c>
      <c r="C328" t="s">
        <v>21</v>
      </c>
      <c r="D328" t="s">
        <v>16</v>
      </c>
      <c r="E328" t="s">
        <v>167</v>
      </c>
      <c r="F328" t="s">
        <v>12</v>
      </c>
      <c r="G328" t="s">
        <v>13</v>
      </c>
      <c r="H328">
        <v>305.92</v>
      </c>
    </row>
    <row r="329" spans="1:8">
      <c r="A329">
        <v>1009</v>
      </c>
      <c r="B329" t="s">
        <v>376</v>
      </c>
      <c r="C329" t="s">
        <v>21</v>
      </c>
      <c r="D329" t="s">
        <v>34</v>
      </c>
      <c r="E329" t="s">
        <v>161</v>
      </c>
      <c r="F329" t="s">
        <v>24</v>
      </c>
      <c r="G329" t="s">
        <v>19</v>
      </c>
      <c r="H329">
        <v>1427.87</v>
      </c>
    </row>
    <row r="330" spans="1:8">
      <c r="A330">
        <v>1339</v>
      </c>
      <c r="B330" t="s">
        <v>267</v>
      </c>
      <c r="C330" t="s">
        <v>15</v>
      </c>
      <c r="D330" t="s">
        <v>16</v>
      </c>
      <c r="E330" t="s">
        <v>63</v>
      </c>
      <c r="F330" t="s">
        <v>30</v>
      </c>
      <c r="H330">
        <v>1613.42</v>
      </c>
    </row>
    <row r="331" spans="1:8">
      <c r="A331">
        <v>1354</v>
      </c>
      <c r="B331" t="s">
        <v>377</v>
      </c>
      <c r="C331" t="s">
        <v>15</v>
      </c>
      <c r="D331" t="s">
        <v>60</v>
      </c>
      <c r="E331" t="s">
        <v>108</v>
      </c>
      <c r="F331" t="s">
        <v>12</v>
      </c>
      <c r="G331" t="s">
        <v>36</v>
      </c>
      <c r="H331">
        <v>959.47</v>
      </c>
    </row>
    <row r="332" spans="1:8">
      <c r="A332">
        <v>1285</v>
      </c>
      <c r="B332" t="s">
        <v>378</v>
      </c>
      <c r="C332" t="s">
        <v>57</v>
      </c>
      <c r="D332" t="s">
        <v>65</v>
      </c>
      <c r="E332" t="s">
        <v>23</v>
      </c>
      <c r="F332" t="s">
        <v>18</v>
      </c>
      <c r="H332">
        <v>834.54</v>
      </c>
    </row>
    <row r="333" spans="1:8">
      <c r="A333">
        <v>1295</v>
      </c>
      <c r="B333" t="s">
        <v>374</v>
      </c>
      <c r="C333" t="s">
        <v>57</v>
      </c>
      <c r="D333" t="s">
        <v>47</v>
      </c>
      <c r="E333" t="s">
        <v>29</v>
      </c>
      <c r="F333" t="s">
        <v>24</v>
      </c>
      <c r="G333" t="s">
        <v>76</v>
      </c>
      <c r="H333">
        <v>498.64</v>
      </c>
    </row>
    <row r="334" spans="1:8">
      <c r="A334">
        <v>1104</v>
      </c>
      <c r="B334" t="s">
        <v>379</v>
      </c>
      <c r="C334" t="s">
        <v>33</v>
      </c>
      <c r="D334" t="s">
        <v>90</v>
      </c>
      <c r="E334" t="s">
        <v>108</v>
      </c>
      <c r="F334" t="s">
        <v>54</v>
      </c>
      <c r="G334" t="s">
        <v>13</v>
      </c>
      <c r="H334">
        <v>3278.81</v>
      </c>
    </row>
    <row r="335" spans="1:8">
      <c r="A335">
        <v>1312</v>
      </c>
      <c r="B335" t="s">
        <v>380</v>
      </c>
      <c r="C335" t="s">
        <v>57</v>
      </c>
      <c r="D335" t="s">
        <v>28</v>
      </c>
      <c r="E335" t="s">
        <v>29</v>
      </c>
      <c r="F335" t="s">
        <v>18</v>
      </c>
      <c r="G335" t="s">
        <v>13</v>
      </c>
      <c r="H335">
        <v>828.77</v>
      </c>
    </row>
    <row r="336" spans="1:8">
      <c r="A336">
        <v>1321</v>
      </c>
      <c r="B336" t="s">
        <v>92</v>
      </c>
      <c r="C336" t="s">
        <v>27</v>
      </c>
      <c r="D336" t="s">
        <v>65</v>
      </c>
      <c r="E336" t="s">
        <v>93</v>
      </c>
      <c r="F336" t="s">
        <v>45</v>
      </c>
      <c r="G336" t="s">
        <v>19</v>
      </c>
    </row>
    <row r="337" spans="1:8">
      <c r="A337">
        <v>1284</v>
      </c>
      <c r="B337" t="s">
        <v>83</v>
      </c>
      <c r="C337" t="s">
        <v>33</v>
      </c>
      <c r="D337" t="s">
        <v>60</v>
      </c>
      <c r="E337" t="s">
        <v>84</v>
      </c>
      <c r="F337" t="s">
        <v>12</v>
      </c>
      <c r="G337" t="s">
        <v>13</v>
      </c>
      <c r="H337">
        <v>1053.64</v>
      </c>
    </row>
    <row r="338" spans="1:8">
      <c r="A338">
        <v>1091</v>
      </c>
      <c r="B338" t="s">
        <v>381</v>
      </c>
      <c r="C338" t="s">
        <v>57</v>
      </c>
      <c r="D338" t="s">
        <v>34</v>
      </c>
      <c r="E338" t="s">
        <v>74</v>
      </c>
      <c r="F338" t="s">
        <v>30</v>
      </c>
      <c r="G338" t="s">
        <v>31</v>
      </c>
      <c r="H338">
        <v>2759.3</v>
      </c>
    </row>
    <row r="339" spans="1:8">
      <c r="A339">
        <v>1182</v>
      </c>
      <c r="B339" t="s">
        <v>382</v>
      </c>
      <c r="C339" t="s">
        <v>27</v>
      </c>
      <c r="D339" t="s">
        <v>95</v>
      </c>
      <c r="E339" t="s">
        <v>74</v>
      </c>
      <c r="F339" t="s">
        <v>45</v>
      </c>
      <c r="H339">
        <v>798.58</v>
      </c>
    </row>
    <row r="340" spans="1:8">
      <c r="A340">
        <v>1315</v>
      </c>
      <c r="B340" t="s">
        <v>383</v>
      </c>
      <c r="C340" t="s">
        <v>33</v>
      </c>
      <c r="D340" t="s">
        <v>28</v>
      </c>
      <c r="E340" t="s">
        <v>102</v>
      </c>
      <c r="F340" t="s">
        <v>18</v>
      </c>
      <c r="G340" t="s">
        <v>25</v>
      </c>
      <c r="H340">
        <v>790.37</v>
      </c>
    </row>
    <row r="341" spans="1:8">
      <c r="A341">
        <v>1381</v>
      </c>
      <c r="B341" t="s">
        <v>384</v>
      </c>
      <c r="C341" t="s">
        <v>15</v>
      </c>
      <c r="D341" t="s">
        <v>60</v>
      </c>
      <c r="E341" t="s">
        <v>120</v>
      </c>
      <c r="F341" t="s">
        <v>54</v>
      </c>
      <c r="G341" t="s">
        <v>13</v>
      </c>
      <c r="H341">
        <v>1083</v>
      </c>
    </row>
    <row r="342" spans="1:8">
      <c r="A342">
        <v>1172</v>
      </c>
      <c r="B342" t="s">
        <v>308</v>
      </c>
      <c r="D342" t="s">
        <v>90</v>
      </c>
      <c r="E342" t="s">
        <v>48</v>
      </c>
      <c r="F342" t="s">
        <v>45</v>
      </c>
      <c r="H342">
        <v>1472.26</v>
      </c>
    </row>
    <row r="343" spans="1:8">
      <c r="A343">
        <v>1232</v>
      </c>
      <c r="B343" t="s">
        <v>385</v>
      </c>
      <c r="C343" t="s">
        <v>57</v>
      </c>
      <c r="D343" t="s">
        <v>28</v>
      </c>
      <c r="E343" t="s">
        <v>74</v>
      </c>
      <c r="F343" t="s">
        <v>45</v>
      </c>
      <c r="G343" t="s">
        <v>31</v>
      </c>
      <c r="H343">
        <v>306.05</v>
      </c>
    </row>
    <row r="344" spans="1:8">
      <c r="A344">
        <v>1036</v>
      </c>
      <c r="B344" t="s">
        <v>386</v>
      </c>
      <c r="C344" t="s">
        <v>27</v>
      </c>
      <c r="D344" t="s">
        <v>47</v>
      </c>
      <c r="E344" t="s">
        <v>147</v>
      </c>
      <c r="F344" t="s">
        <v>45</v>
      </c>
      <c r="G344" t="s">
        <v>76</v>
      </c>
      <c r="H344">
        <v>2981.42</v>
      </c>
    </row>
    <row r="345" spans="1:8">
      <c r="A345">
        <v>1156</v>
      </c>
      <c r="B345" t="s">
        <v>387</v>
      </c>
      <c r="C345" t="s">
        <v>27</v>
      </c>
      <c r="D345" t="s">
        <v>10</v>
      </c>
      <c r="E345" t="s">
        <v>53</v>
      </c>
      <c r="F345" t="s">
        <v>54</v>
      </c>
      <c r="G345" t="s">
        <v>19</v>
      </c>
      <c r="H345">
        <v>729.92</v>
      </c>
    </row>
    <row r="346" spans="1:8">
      <c r="A346">
        <v>1002</v>
      </c>
      <c r="B346" t="s">
        <v>130</v>
      </c>
      <c r="C346" t="s">
        <v>41</v>
      </c>
      <c r="D346" t="s">
        <v>65</v>
      </c>
      <c r="E346" t="s">
        <v>80</v>
      </c>
      <c r="F346" t="s">
        <v>54</v>
      </c>
      <c r="G346" t="s">
        <v>13</v>
      </c>
      <c r="H346">
        <v>1968.06</v>
      </c>
    </row>
    <row r="347" spans="1:8">
      <c r="A347">
        <v>1242</v>
      </c>
      <c r="B347" t="s">
        <v>371</v>
      </c>
      <c r="C347" t="s">
        <v>9</v>
      </c>
      <c r="D347" t="s">
        <v>60</v>
      </c>
      <c r="E347" t="s">
        <v>115</v>
      </c>
      <c r="F347" t="s">
        <v>45</v>
      </c>
      <c r="G347" t="s">
        <v>13</v>
      </c>
      <c r="H347">
        <v>516.93</v>
      </c>
    </row>
    <row r="348" spans="1:8">
      <c r="A348">
        <v>1308</v>
      </c>
      <c r="B348" t="s">
        <v>388</v>
      </c>
      <c r="C348" t="s">
        <v>27</v>
      </c>
      <c r="D348" t="s">
        <v>90</v>
      </c>
      <c r="E348" t="s">
        <v>235</v>
      </c>
      <c r="F348" t="s">
        <v>45</v>
      </c>
      <c r="H348">
        <v>784.06</v>
      </c>
    </row>
    <row r="349" spans="1:8">
      <c r="A349">
        <v>1289</v>
      </c>
      <c r="B349" t="s">
        <v>330</v>
      </c>
      <c r="C349" t="s">
        <v>15</v>
      </c>
      <c r="D349" t="s">
        <v>90</v>
      </c>
      <c r="E349" t="s">
        <v>161</v>
      </c>
      <c r="F349" t="s">
        <v>45</v>
      </c>
      <c r="G349" t="s">
        <v>42</v>
      </c>
      <c r="H349">
        <v>300.69</v>
      </c>
    </row>
    <row r="350" spans="1:8">
      <c r="A350">
        <v>1048</v>
      </c>
      <c r="B350" t="s">
        <v>389</v>
      </c>
      <c r="C350" t="s">
        <v>41</v>
      </c>
      <c r="D350" t="s">
        <v>10</v>
      </c>
      <c r="E350" t="s">
        <v>390</v>
      </c>
      <c r="F350" t="s">
        <v>30</v>
      </c>
      <c r="G350" t="s">
        <v>42</v>
      </c>
      <c r="H350">
        <v>870.92</v>
      </c>
    </row>
    <row r="351" spans="1:8">
      <c r="A351">
        <v>1141</v>
      </c>
      <c r="B351" t="s">
        <v>295</v>
      </c>
      <c r="C351" t="s">
        <v>15</v>
      </c>
      <c r="D351" t="s">
        <v>60</v>
      </c>
      <c r="E351" t="s">
        <v>238</v>
      </c>
      <c r="F351" t="s">
        <v>30</v>
      </c>
      <c r="G351" t="s">
        <v>76</v>
      </c>
      <c r="H351">
        <v>3077.51</v>
      </c>
    </row>
    <row r="352" spans="1:8">
      <c r="A352">
        <v>1223</v>
      </c>
      <c r="B352" t="s">
        <v>391</v>
      </c>
      <c r="C352" t="s">
        <v>15</v>
      </c>
      <c r="D352" t="s">
        <v>28</v>
      </c>
      <c r="E352" t="s">
        <v>100</v>
      </c>
      <c r="F352" t="s">
        <v>18</v>
      </c>
      <c r="G352" t="s">
        <v>31</v>
      </c>
      <c r="H352">
        <v>1830.71</v>
      </c>
    </row>
    <row r="353" spans="1:8">
      <c r="A353">
        <v>1183</v>
      </c>
      <c r="B353" t="s">
        <v>376</v>
      </c>
      <c r="D353" t="s">
        <v>65</v>
      </c>
      <c r="E353" t="s">
        <v>158</v>
      </c>
      <c r="F353" t="s">
        <v>54</v>
      </c>
      <c r="G353" t="s">
        <v>76</v>
      </c>
      <c r="H353">
        <v>798.18</v>
      </c>
    </row>
    <row r="354" spans="1:8">
      <c r="A354">
        <v>1331</v>
      </c>
      <c r="B354" t="s">
        <v>392</v>
      </c>
      <c r="C354" t="s">
        <v>38</v>
      </c>
      <c r="D354" t="s">
        <v>99</v>
      </c>
      <c r="E354" t="s">
        <v>91</v>
      </c>
      <c r="F354" t="s">
        <v>54</v>
      </c>
      <c r="G354" t="s">
        <v>31</v>
      </c>
      <c r="H354">
        <v>871.18</v>
      </c>
    </row>
    <row r="355" spans="1:8">
      <c r="A355">
        <v>1369</v>
      </c>
      <c r="B355" t="s">
        <v>393</v>
      </c>
      <c r="C355" t="s">
        <v>9</v>
      </c>
      <c r="D355" t="s">
        <v>28</v>
      </c>
      <c r="E355" t="s">
        <v>58</v>
      </c>
      <c r="F355" t="s">
        <v>18</v>
      </c>
      <c r="G355" t="s">
        <v>36</v>
      </c>
      <c r="H355">
        <v>1807.86</v>
      </c>
    </row>
    <row r="356" spans="1:8">
      <c r="A356">
        <v>1160</v>
      </c>
      <c r="B356" t="s">
        <v>394</v>
      </c>
      <c r="C356" t="s">
        <v>21</v>
      </c>
      <c r="D356" t="s">
        <v>16</v>
      </c>
      <c r="E356" t="s">
        <v>243</v>
      </c>
      <c r="F356" t="s">
        <v>30</v>
      </c>
      <c r="H356">
        <v>724.95</v>
      </c>
    </row>
    <row r="357" spans="1:8">
      <c r="A357">
        <v>1336</v>
      </c>
      <c r="B357" t="s">
        <v>395</v>
      </c>
      <c r="C357" t="s">
        <v>41</v>
      </c>
      <c r="D357" t="s">
        <v>90</v>
      </c>
      <c r="E357" t="s">
        <v>48</v>
      </c>
      <c r="F357" t="s">
        <v>45</v>
      </c>
      <c r="H357">
        <v>1077.9</v>
      </c>
    </row>
    <row r="358" spans="1:8">
      <c r="A358">
        <v>1219</v>
      </c>
      <c r="B358" t="s">
        <v>396</v>
      </c>
      <c r="C358" t="s">
        <v>33</v>
      </c>
      <c r="D358" t="s">
        <v>65</v>
      </c>
      <c r="E358" t="s">
        <v>200</v>
      </c>
      <c r="F358" t="s">
        <v>24</v>
      </c>
      <c r="G358" t="s">
        <v>31</v>
      </c>
      <c r="H358">
        <v>479.22</v>
      </c>
    </row>
    <row r="359" spans="1:8">
      <c r="A359">
        <v>1099</v>
      </c>
      <c r="B359" t="s">
        <v>294</v>
      </c>
      <c r="C359" t="s">
        <v>15</v>
      </c>
      <c r="D359" t="s">
        <v>95</v>
      </c>
      <c r="E359" t="s">
        <v>147</v>
      </c>
      <c r="F359" t="s">
        <v>18</v>
      </c>
      <c r="G359" t="s">
        <v>13</v>
      </c>
      <c r="H359">
        <v>1456.72</v>
      </c>
    </row>
    <row r="360" spans="1:8">
      <c r="A360">
        <v>1235</v>
      </c>
      <c r="B360" t="s">
        <v>309</v>
      </c>
      <c r="C360" t="s">
        <v>15</v>
      </c>
      <c r="D360" t="s">
        <v>90</v>
      </c>
      <c r="E360" t="s">
        <v>106</v>
      </c>
      <c r="F360" t="s">
        <v>45</v>
      </c>
      <c r="H360">
        <v>1422.01</v>
      </c>
    </row>
    <row r="361" spans="1:8">
      <c r="A361">
        <v>1117</v>
      </c>
      <c r="B361" t="s">
        <v>293</v>
      </c>
      <c r="C361" t="s">
        <v>38</v>
      </c>
      <c r="D361" t="s">
        <v>60</v>
      </c>
      <c r="E361" t="s">
        <v>200</v>
      </c>
      <c r="F361" t="s">
        <v>18</v>
      </c>
      <c r="G361" t="s">
        <v>31</v>
      </c>
      <c r="H361">
        <v>476.55</v>
      </c>
    </row>
    <row r="362" spans="1:8">
      <c r="A362">
        <v>1341</v>
      </c>
      <c r="B362" t="s">
        <v>397</v>
      </c>
      <c r="C362" t="s">
        <v>27</v>
      </c>
      <c r="D362" t="s">
        <v>65</v>
      </c>
      <c r="E362" t="s">
        <v>100</v>
      </c>
      <c r="F362" t="s">
        <v>12</v>
      </c>
      <c r="G362" t="s">
        <v>31</v>
      </c>
      <c r="H362">
        <v>292.31</v>
      </c>
    </row>
    <row r="363" spans="1:8">
      <c r="A363">
        <v>1001</v>
      </c>
      <c r="B363" t="s">
        <v>398</v>
      </c>
      <c r="C363" t="s">
        <v>38</v>
      </c>
      <c r="D363" t="s">
        <v>28</v>
      </c>
      <c r="E363" t="s">
        <v>86</v>
      </c>
      <c r="F363" t="s">
        <v>30</v>
      </c>
      <c r="G363" t="s">
        <v>42</v>
      </c>
      <c r="H363">
        <v>302.66</v>
      </c>
    </row>
    <row r="364" spans="1:8">
      <c r="A364">
        <v>1113</v>
      </c>
      <c r="B364" t="s">
        <v>399</v>
      </c>
      <c r="C364" t="s">
        <v>27</v>
      </c>
      <c r="D364" t="s">
        <v>65</v>
      </c>
      <c r="E364" t="s">
        <v>51</v>
      </c>
      <c r="F364" t="s">
        <v>12</v>
      </c>
      <c r="G364" t="s">
        <v>13</v>
      </c>
      <c r="H364">
        <v>503.01</v>
      </c>
    </row>
    <row r="365" spans="1:8">
      <c r="A365">
        <v>1382</v>
      </c>
      <c r="B365" t="s">
        <v>400</v>
      </c>
      <c r="C365" t="s">
        <v>21</v>
      </c>
      <c r="D365" t="s">
        <v>10</v>
      </c>
      <c r="E365" t="s">
        <v>88</v>
      </c>
      <c r="F365" t="s">
        <v>54</v>
      </c>
      <c r="G365" t="s">
        <v>19</v>
      </c>
      <c r="H365">
        <v>3145.13</v>
      </c>
    </row>
    <row r="366" spans="1:8">
      <c r="A366">
        <v>1174</v>
      </c>
      <c r="B366" t="s">
        <v>165</v>
      </c>
      <c r="C366" t="s">
        <v>15</v>
      </c>
      <c r="D366" t="s">
        <v>16</v>
      </c>
      <c r="E366" t="s">
        <v>102</v>
      </c>
      <c r="F366" t="s">
        <v>54</v>
      </c>
      <c r="G366" t="s">
        <v>31</v>
      </c>
      <c r="H366">
        <v>1394.97</v>
      </c>
    </row>
    <row r="367" spans="1:8">
      <c r="A367">
        <v>1253</v>
      </c>
      <c r="B367" t="s">
        <v>401</v>
      </c>
      <c r="C367" t="s">
        <v>27</v>
      </c>
      <c r="D367" t="s">
        <v>10</v>
      </c>
      <c r="E367" t="s">
        <v>48</v>
      </c>
      <c r="F367" t="s">
        <v>18</v>
      </c>
      <c r="G367" t="s">
        <v>25</v>
      </c>
      <c r="H367">
        <v>1860.73</v>
      </c>
    </row>
    <row r="368" spans="1:8">
      <c r="A368">
        <v>1368</v>
      </c>
      <c r="B368" t="s">
        <v>402</v>
      </c>
      <c r="C368" t="s">
        <v>15</v>
      </c>
      <c r="D368" t="s">
        <v>10</v>
      </c>
      <c r="E368" t="s">
        <v>29</v>
      </c>
      <c r="F368" t="s">
        <v>12</v>
      </c>
      <c r="H368">
        <v>838.97</v>
      </c>
    </row>
    <row r="369" spans="1:8">
      <c r="A369">
        <v>1184</v>
      </c>
      <c r="B369" t="s">
        <v>403</v>
      </c>
      <c r="C369" t="s">
        <v>57</v>
      </c>
      <c r="D369" t="s">
        <v>90</v>
      </c>
      <c r="E369" t="s">
        <v>125</v>
      </c>
      <c r="F369" t="s">
        <v>18</v>
      </c>
      <c r="G369" t="s">
        <v>25</v>
      </c>
      <c r="H369">
        <v>1945.34</v>
      </c>
    </row>
    <row r="370" spans="1:8">
      <c r="A370">
        <v>1165</v>
      </c>
      <c r="B370" t="s">
        <v>391</v>
      </c>
      <c r="C370" t="s">
        <v>33</v>
      </c>
      <c r="D370" t="s">
        <v>16</v>
      </c>
      <c r="E370" t="s">
        <v>118</v>
      </c>
      <c r="F370" t="s">
        <v>24</v>
      </c>
      <c r="G370" t="s">
        <v>13</v>
      </c>
      <c r="H370">
        <v>277.64</v>
      </c>
    </row>
    <row r="371" spans="1:8">
      <c r="A371">
        <v>1274</v>
      </c>
      <c r="B371" t="s">
        <v>404</v>
      </c>
      <c r="C371" t="s">
        <v>21</v>
      </c>
      <c r="D371" t="s">
        <v>16</v>
      </c>
      <c r="E371" t="s">
        <v>129</v>
      </c>
      <c r="F371" t="s">
        <v>24</v>
      </c>
      <c r="G371" t="s">
        <v>31</v>
      </c>
      <c r="H371">
        <v>545.18</v>
      </c>
    </row>
    <row r="372" spans="1:8">
      <c r="A372">
        <v>1192</v>
      </c>
      <c r="B372" t="s">
        <v>405</v>
      </c>
      <c r="C372" t="s">
        <v>41</v>
      </c>
      <c r="D372" t="s">
        <v>47</v>
      </c>
      <c r="E372" t="s">
        <v>58</v>
      </c>
      <c r="F372" t="s">
        <v>54</v>
      </c>
      <c r="G372" t="s">
        <v>13</v>
      </c>
      <c r="H372">
        <v>1411.26</v>
      </c>
    </row>
    <row r="373" spans="1:8">
      <c r="A373">
        <v>1000</v>
      </c>
      <c r="B373" t="s">
        <v>302</v>
      </c>
      <c r="C373" t="s">
        <v>21</v>
      </c>
      <c r="D373" t="s">
        <v>28</v>
      </c>
      <c r="E373" t="s">
        <v>86</v>
      </c>
      <c r="F373" t="s">
        <v>18</v>
      </c>
      <c r="G373" t="s">
        <v>31</v>
      </c>
      <c r="H373">
        <v>2095.22</v>
      </c>
    </row>
    <row r="374" spans="1:8">
      <c r="A374">
        <v>1054</v>
      </c>
      <c r="B374" t="s">
        <v>406</v>
      </c>
      <c r="C374" t="s">
        <v>57</v>
      </c>
      <c r="D374" t="s">
        <v>50</v>
      </c>
      <c r="E374" t="s">
        <v>248</v>
      </c>
      <c r="F374" t="s">
        <v>24</v>
      </c>
      <c r="G374" t="s">
        <v>13</v>
      </c>
      <c r="H374">
        <v>1865.08</v>
      </c>
    </row>
    <row r="375" spans="1:8">
      <c r="A375">
        <v>1028</v>
      </c>
      <c r="B375" t="s">
        <v>407</v>
      </c>
      <c r="C375" t="s">
        <v>38</v>
      </c>
      <c r="D375" t="s">
        <v>16</v>
      </c>
      <c r="E375" t="s">
        <v>11</v>
      </c>
      <c r="F375" t="s">
        <v>30</v>
      </c>
      <c r="G375" t="s">
        <v>25</v>
      </c>
      <c r="H375">
        <v>542.24</v>
      </c>
    </row>
    <row r="376" spans="1:8">
      <c r="A376">
        <v>1206</v>
      </c>
      <c r="B376" t="s">
        <v>304</v>
      </c>
      <c r="C376" t="s">
        <v>38</v>
      </c>
      <c r="D376" t="s">
        <v>95</v>
      </c>
      <c r="E376" t="s">
        <v>48</v>
      </c>
      <c r="F376" t="s">
        <v>18</v>
      </c>
      <c r="G376" t="s">
        <v>13</v>
      </c>
      <c r="H376">
        <v>2000.01</v>
      </c>
    </row>
    <row r="377" spans="1:8">
      <c r="A377">
        <v>1049</v>
      </c>
      <c r="B377" t="s">
        <v>408</v>
      </c>
      <c r="C377" t="s">
        <v>41</v>
      </c>
      <c r="D377" t="s">
        <v>34</v>
      </c>
      <c r="E377" t="s">
        <v>78</v>
      </c>
      <c r="F377" t="s">
        <v>45</v>
      </c>
      <c r="H377">
        <v>839.23</v>
      </c>
    </row>
    <row r="378" spans="1:8">
      <c r="A378">
        <v>1350</v>
      </c>
      <c r="B378" t="s">
        <v>408</v>
      </c>
      <c r="C378" t="s">
        <v>38</v>
      </c>
      <c r="D378" t="s">
        <v>10</v>
      </c>
      <c r="E378" t="s">
        <v>144</v>
      </c>
      <c r="F378" t="s">
        <v>18</v>
      </c>
      <c r="G378" t="s">
        <v>31</v>
      </c>
      <c r="H378">
        <v>1017.79</v>
      </c>
    </row>
    <row r="379" spans="1:8">
      <c r="A379">
        <v>1020</v>
      </c>
      <c r="B379" t="s">
        <v>292</v>
      </c>
      <c r="C379" t="s">
        <v>57</v>
      </c>
      <c r="D379" t="s">
        <v>50</v>
      </c>
      <c r="E379" t="s">
        <v>58</v>
      </c>
      <c r="F379" t="s">
        <v>12</v>
      </c>
      <c r="G379" t="s">
        <v>31</v>
      </c>
      <c r="H379">
        <v>468.22</v>
      </c>
    </row>
    <row r="380" spans="1:8">
      <c r="A380">
        <v>1293</v>
      </c>
      <c r="B380" t="s">
        <v>409</v>
      </c>
      <c r="C380" t="s">
        <v>27</v>
      </c>
      <c r="D380" t="s">
        <v>16</v>
      </c>
      <c r="E380" t="s">
        <v>88</v>
      </c>
      <c r="F380" t="s">
        <v>45</v>
      </c>
      <c r="G380" t="s">
        <v>42</v>
      </c>
      <c r="H380">
        <v>2104.24</v>
      </c>
    </row>
    <row r="381" spans="1:8">
      <c r="A381">
        <v>1176</v>
      </c>
      <c r="B381" t="s">
        <v>410</v>
      </c>
      <c r="C381" t="s">
        <v>27</v>
      </c>
      <c r="D381" t="s">
        <v>34</v>
      </c>
      <c r="E381" t="s">
        <v>53</v>
      </c>
      <c r="F381" t="s">
        <v>30</v>
      </c>
      <c r="G381" t="s">
        <v>42</v>
      </c>
      <c r="H381">
        <v>853.74</v>
      </c>
    </row>
    <row r="382" spans="1:8">
      <c r="A382">
        <v>1335</v>
      </c>
      <c r="B382" t="s">
        <v>191</v>
      </c>
      <c r="C382" t="s">
        <v>38</v>
      </c>
      <c r="D382" t="s">
        <v>22</v>
      </c>
      <c r="E382" t="s">
        <v>44</v>
      </c>
      <c r="F382" t="s">
        <v>24</v>
      </c>
      <c r="G382" t="s">
        <v>42</v>
      </c>
    </row>
    <row r="383" spans="1:8">
      <c r="A383">
        <v>1379</v>
      </c>
      <c r="B383" t="s">
        <v>411</v>
      </c>
      <c r="D383" t="s">
        <v>50</v>
      </c>
      <c r="E383" t="s">
        <v>108</v>
      </c>
      <c r="F383" t="s">
        <v>12</v>
      </c>
      <c r="G383" t="s">
        <v>13</v>
      </c>
      <c r="H383">
        <v>2139.2</v>
      </c>
    </row>
    <row r="384" spans="1:8">
      <c r="A384">
        <v>1033</v>
      </c>
      <c r="B384" t="s">
        <v>412</v>
      </c>
      <c r="C384" t="s">
        <v>33</v>
      </c>
      <c r="D384" t="s">
        <v>65</v>
      </c>
      <c r="E384" t="s">
        <v>115</v>
      </c>
      <c r="F384" t="s">
        <v>18</v>
      </c>
      <c r="G384" t="s">
        <v>13</v>
      </c>
      <c r="H384">
        <v>453.27</v>
      </c>
    </row>
    <row r="385" spans="1:8">
      <c r="A385">
        <v>1171</v>
      </c>
      <c r="B385" t="s">
        <v>268</v>
      </c>
      <c r="C385" t="s">
        <v>9</v>
      </c>
      <c r="D385" t="s">
        <v>90</v>
      </c>
      <c r="E385" t="s">
        <v>93</v>
      </c>
      <c r="F385" t="s">
        <v>18</v>
      </c>
      <c r="G385" t="s">
        <v>36</v>
      </c>
      <c r="H385">
        <v>2995.41</v>
      </c>
    </row>
    <row r="386" spans="1:8">
      <c r="A386">
        <v>1007</v>
      </c>
      <c r="B386" t="s">
        <v>413</v>
      </c>
      <c r="C386" t="s">
        <v>21</v>
      </c>
      <c r="D386" t="s">
        <v>10</v>
      </c>
      <c r="E386" t="s">
        <v>167</v>
      </c>
      <c r="F386" t="s">
        <v>30</v>
      </c>
      <c r="G386" t="s">
        <v>36</v>
      </c>
      <c r="H386">
        <v>1928.75</v>
      </c>
    </row>
    <row r="387" spans="1:8">
      <c r="A387">
        <v>1318</v>
      </c>
      <c r="B387" t="s">
        <v>414</v>
      </c>
      <c r="C387" t="s">
        <v>15</v>
      </c>
      <c r="D387" t="s">
        <v>22</v>
      </c>
      <c r="E387" t="s">
        <v>97</v>
      </c>
      <c r="F387" t="s">
        <v>54</v>
      </c>
      <c r="G387" t="s">
        <v>31</v>
      </c>
      <c r="H387">
        <v>1414.76</v>
      </c>
    </row>
    <row r="388" spans="1:8">
      <c r="A388">
        <v>1324</v>
      </c>
      <c r="B388" t="s">
        <v>296</v>
      </c>
      <c r="C388" t="s">
        <v>15</v>
      </c>
      <c r="D388" t="s">
        <v>65</v>
      </c>
      <c r="E388" t="s">
        <v>147</v>
      </c>
      <c r="F388" t="s">
        <v>12</v>
      </c>
      <c r="G388" t="s">
        <v>25</v>
      </c>
      <c r="H388">
        <v>740.9</v>
      </c>
    </row>
    <row r="389" spans="1:8">
      <c r="A389">
        <v>1106</v>
      </c>
      <c r="B389" t="s">
        <v>415</v>
      </c>
      <c r="C389" t="s">
        <v>38</v>
      </c>
      <c r="D389" t="s">
        <v>10</v>
      </c>
      <c r="E389" t="s">
        <v>86</v>
      </c>
      <c r="F389" t="s">
        <v>45</v>
      </c>
      <c r="G389" t="s">
        <v>76</v>
      </c>
      <c r="H389">
        <v>1614.19</v>
      </c>
    </row>
    <row r="390" spans="1:8">
      <c r="A390">
        <v>1097</v>
      </c>
      <c r="B390" t="s">
        <v>387</v>
      </c>
      <c r="C390" t="s">
        <v>27</v>
      </c>
      <c r="D390" t="s">
        <v>28</v>
      </c>
      <c r="E390" t="s">
        <v>108</v>
      </c>
      <c r="F390" t="s">
        <v>24</v>
      </c>
      <c r="G390" t="s">
        <v>25</v>
      </c>
    </row>
    <row r="391" spans="1:8">
      <c r="A391">
        <v>1110</v>
      </c>
      <c r="B391" t="s">
        <v>126</v>
      </c>
      <c r="C391" t="s">
        <v>41</v>
      </c>
      <c r="D391" t="s">
        <v>28</v>
      </c>
      <c r="E391" t="s">
        <v>66</v>
      </c>
      <c r="F391" t="s">
        <v>12</v>
      </c>
      <c r="G391" t="s">
        <v>31</v>
      </c>
      <c r="H391">
        <v>1945.96</v>
      </c>
    </row>
    <row r="392" spans="1:8">
      <c r="A392">
        <v>1360</v>
      </c>
      <c r="B392" t="s">
        <v>284</v>
      </c>
      <c r="C392" t="s">
        <v>38</v>
      </c>
      <c r="D392" t="s">
        <v>28</v>
      </c>
      <c r="E392" t="s">
        <v>158</v>
      </c>
      <c r="F392" t="s">
        <v>18</v>
      </c>
      <c r="G392" t="s">
        <v>25</v>
      </c>
      <c r="H392">
        <v>1056.56</v>
      </c>
    </row>
    <row r="393" spans="1:8">
      <c r="A393">
        <v>1069</v>
      </c>
      <c r="B393" t="s">
        <v>387</v>
      </c>
      <c r="C393" t="s">
        <v>9</v>
      </c>
      <c r="D393" t="s">
        <v>47</v>
      </c>
      <c r="E393" t="s">
        <v>141</v>
      </c>
      <c r="F393" t="s">
        <v>12</v>
      </c>
      <c r="G393" t="s">
        <v>42</v>
      </c>
      <c r="H393">
        <v>3013.78</v>
      </c>
    </row>
    <row r="394" spans="1:8">
      <c r="A394">
        <v>1346</v>
      </c>
      <c r="B394" t="s">
        <v>156</v>
      </c>
      <c r="C394" t="s">
        <v>9</v>
      </c>
      <c r="D394" t="s">
        <v>34</v>
      </c>
      <c r="E394" t="s">
        <v>48</v>
      </c>
      <c r="F394" t="s">
        <v>24</v>
      </c>
      <c r="H394">
        <v>3194.43</v>
      </c>
    </row>
    <row r="395" spans="1:8">
      <c r="A395">
        <v>1129</v>
      </c>
      <c r="B395" t="s">
        <v>416</v>
      </c>
      <c r="C395" t="s">
        <v>9</v>
      </c>
      <c r="D395" t="s">
        <v>22</v>
      </c>
      <c r="E395" t="s">
        <v>11</v>
      </c>
      <c r="F395" t="s">
        <v>18</v>
      </c>
      <c r="G395" t="s">
        <v>25</v>
      </c>
    </row>
    <row r="396" spans="1:8">
      <c r="A396">
        <v>1316</v>
      </c>
      <c r="B396" t="s">
        <v>417</v>
      </c>
      <c r="C396" t="s">
        <v>41</v>
      </c>
      <c r="D396" t="s">
        <v>50</v>
      </c>
      <c r="E396" t="s">
        <v>84</v>
      </c>
      <c r="F396" t="s">
        <v>30</v>
      </c>
      <c r="H396">
        <v>274.35</v>
      </c>
    </row>
    <row r="397" spans="1:8">
      <c r="A397">
        <v>1258</v>
      </c>
      <c r="B397" t="s">
        <v>418</v>
      </c>
      <c r="C397" t="s">
        <v>15</v>
      </c>
      <c r="D397" t="s">
        <v>90</v>
      </c>
      <c r="E397" t="s">
        <v>104</v>
      </c>
      <c r="F397" t="s">
        <v>24</v>
      </c>
      <c r="G397" t="s">
        <v>13</v>
      </c>
      <c r="H397">
        <v>768.94</v>
      </c>
    </row>
    <row r="398" spans="1:8">
      <c r="A398">
        <v>1322</v>
      </c>
      <c r="B398" t="s">
        <v>419</v>
      </c>
      <c r="C398" t="s">
        <v>41</v>
      </c>
      <c r="D398" t="s">
        <v>99</v>
      </c>
      <c r="E398" t="s">
        <v>248</v>
      </c>
      <c r="F398" t="s">
        <v>30</v>
      </c>
      <c r="G398" t="s">
        <v>36</v>
      </c>
      <c r="H398">
        <v>2777.37</v>
      </c>
    </row>
    <row r="399" spans="1:8">
      <c r="A399">
        <v>1150</v>
      </c>
      <c r="B399" t="s">
        <v>420</v>
      </c>
      <c r="C399" t="s">
        <v>38</v>
      </c>
      <c r="D399" t="s">
        <v>22</v>
      </c>
      <c r="E399" t="s">
        <v>35</v>
      </c>
      <c r="F399" t="s">
        <v>18</v>
      </c>
      <c r="G399" t="s">
        <v>25</v>
      </c>
      <c r="H399">
        <v>1079.98</v>
      </c>
    </row>
    <row r="400" spans="1:8">
      <c r="A400">
        <v>1337</v>
      </c>
      <c r="B400" t="s">
        <v>421</v>
      </c>
      <c r="C400" t="s">
        <v>33</v>
      </c>
      <c r="D400" t="s">
        <v>50</v>
      </c>
      <c r="E400" t="s">
        <v>106</v>
      </c>
      <c r="F400" t="s">
        <v>18</v>
      </c>
      <c r="H400">
        <v>284.85</v>
      </c>
    </row>
    <row r="401" spans="1:8">
      <c r="A401">
        <v>1026</v>
      </c>
      <c r="B401" t="s">
        <v>422</v>
      </c>
      <c r="C401" t="s">
        <v>15</v>
      </c>
      <c r="D401" t="s">
        <v>10</v>
      </c>
      <c r="E401" t="s">
        <v>136</v>
      </c>
      <c r="F401" t="s">
        <v>30</v>
      </c>
      <c r="G401" t="s">
        <v>19</v>
      </c>
      <c r="H401">
        <v>868.47</v>
      </c>
    </row>
    <row r="402" spans="1:8">
      <c r="A402">
        <v>1398</v>
      </c>
      <c r="B402" t="s">
        <v>273</v>
      </c>
      <c r="C402" t="s">
        <v>21</v>
      </c>
      <c r="D402" t="s">
        <v>34</v>
      </c>
      <c r="E402" t="s">
        <v>203</v>
      </c>
      <c r="F402" t="s">
        <v>54</v>
      </c>
      <c r="G402" t="s">
        <v>25</v>
      </c>
    </row>
    <row r="403" spans="1:8">
      <c r="A403">
        <v>1093</v>
      </c>
      <c r="B403" t="s">
        <v>423</v>
      </c>
      <c r="C403" t="s">
        <v>33</v>
      </c>
      <c r="D403" t="s">
        <v>10</v>
      </c>
      <c r="E403" t="s">
        <v>66</v>
      </c>
      <c r="F403" t="s">
        <v>30</v>
      </c>
      <c r="G403" t="s">
        <v>13</v>
      </c>
      <c r="H403">
        <v>819.26</v>
      </c>
    </row>
    <row r="404" spans="1:8">
      <c r="A404">
        <v>1148</v>
      </c>
      <c r="B404" t="s">
        <v>424</v>
      </c>
      <c r="C404" t="s">
        <v>21</v>
      </c>
      <c r="D404" t="s">
        <v>95</v>
      </c>
      <c r="E404" t="s">
        <v>129</v>
      </c>
      <c r="F404" t="s">
        <v>18</v>
      </c>
      <c r="G404" t="s">
        <v>31</v>
      </c>
      <c r="H404">
        <v>2177.76</v>
      </c>
    </row>
    <row r="405" spans="1:8">
      <c r="A405">
        <v>1119</v>
      </c>
      <c r="B405" t="s">
        <v>425</v>
      </c>
      <c r="C405" t="s">
        <v>41</v>
      </c>
      <c r="D405" t="s">
        <v>28</v>
      </c>
      <c r="E405" t="s">
        <v>63</v>
      </c>
      <c r="F405" t="s">
        <v>12</v>
      </c>
      <c r="H405">
        <v>982.21</v>
      </c>
    </row>
    <row r="406" spans="1:8">
      <c r="A406">
        <v>1138</v>
      </c>
      <c r="B406" t="s">
        <v>426</v>
      </c>
      <c r="C406" t="s">
        <v>33</v>
      </c>
      <c r="D406" t="s">
        <v>22</v>
      </c>
      <c r="E406" t="s">
        <v>155</v>
      </c>
      <c r="F406" t="s">
        <v>24</v>
      </c>
      <c r="G406" t="s">
        <v>31</v>
      </c>
      <c r="H406">
        <v>1527.21</v>
      </c>
    </row>
    <row r="407" spans="1:8">
      <c r="A407">
        <v>1169</v>
      </c>
      <c r="B407" t="s">
        <v>427</v>
      </c>
      <c r="C407" t="s">
        <v>21</v>
      </c>
      <c r="D407" t="s">
        <v>47</v>
      </c>
      <c r="E407" t="s">
        <v>102</v>
      </c>
      <c r="F407" t="s">
        <v>45</v>
      </c>
      <c r="G407" t="s">
        <v>36</v>
      </c>
      <c r="H407">
        <v>277.22</v>
      </c>
    </row>
    <row r="408" spans="1:8">
      <c r="A408">
        <v>1363</v>
      </c>
      <c r="B408" t="s">
        <v>401</v>
      </c>
      <c r="C408" t="s">
        <v>27</v>
      </c>
      <c r="D408" t="s">
        <v>60</v>
      </c>
      <c r="E408" t="s">
        <v>187</v>
      </c>
      <c r="F408" t="s">
        <v>24</v>
      </c>
      <c r="G408" t="s">
        <v>13</v>
      </c>
      <c r="H408">
        <v>2747.57</v>
      </c>
    </row>
    <row r="409" spans="1:8">
      <c r="A409">
        <v>1202</v>
      </c>
      <c r="B409" t="s">
        <v>337</v>
      </c>
      <c r="C409" t="s">
        <v>41</v>
      </c>
      <c r="D409" t="s">
        <v>22</v>
      </c>
      <c r="E409" t="s">
        <v>93</v>
      </c>
      <c r="F409" t="s">
        <v>54</v>
      </c>
      <c r="G409" t="s">
        <v>31</v>
      </c>
      <c r="H409">
        <v>522.07</v>
      </c>
    </row>
    <row r="410" spans="1:8">
      <c r="A410">
        <v>1147</v>
      </c>
      <c r="B410" t="s">
        <v>428</v>
      </c>
      <c r="C410" t="s">
        <v>57</v>
      </c>
      <c r="D410" t="s">
        <v>50</v>
      </c>
      <c r="E410" t="s">
        <v>106</v>
      </c>
      <c r="F410" t="s">
        <v>24</v>
      </c>
      <c r="G410" t="s">
        <v>36</v>
      </c>
      <c r="H410">
        <v>1021.1</v>
      </c>
    </row>
    <row r="411" spans="1:8">
      <c r="A411">
        <v>1277</v>
      </c>
      <c r="B411" t="s">
        <v>383</v>
      </c>
      <c r="C411" t="s">
        <v>41</v>
      </c>
      <c r="D411" t="s">
        <v>60</v>
      </c>
      <c r="E411" t="s">
        <v>136</v>
      </c>
      <c r="F411" t="s">
        <v>54</v>
      </c>
      <c r="G411" t="s">
        <v>31</v>
      </c>
      <c r="H411">
        <v>2187.77</v>
      </c>
    </row>
    <row r="412" spans="1:8">
      <c r="A412">
        <v>1256</v>
      </c>
      <c r="B412" t="s">
        <v>183</v>
      </c>
      <c r="C412" t="s">
        <v>15</v>
      </c>
      <c r="D412" t="s">
        <v>90</v>
      </c>
      <c r="E412" t="s">
        <v>51</v>
      </c>
      <c r="F412" t="s">
        <v>54</v>
      </c>
      <c r="G412" t="s">
        <v>25</v>
      </c>
      <c r="H412">
        <v>500.07</v>
      </c>
    </row>
    <row r="413" spans="1:8">
      <c r="A413">
        <v>1131</v>
      </c>
      <c r="B413" t="s">
        <v>307</v>
      </c>
      <c r="C413" t="s">
        <v>57</v>
      </c>
      <c r="D413" t="s">
        <v>95</v>
      </c>
      <c r="E413" t="s">
        <v>102</v>
      </c>
      <c r="F413" t="s">
        <v>54</v>
      </c>
      <c r="G413" t="s">
        <v>31</v>
      </c>
      <c r="H413">
        <v>1477.8</v>
      </c>
    </row>
    <row r="414" spans="1:8">
      <c r="A414">
        <v>1249</v>
      </c>
      <c r="B414" t="s">
        <v>429</v>
      </c>
      <c r="C414" t="s">
        <v>33</v>
      </c>
      <c r="D414" t="s">
        <v>65</v>
      </c>
      <c r="E414" t="s">
        <v>256</v>
      </c>
      <c r="F414" t="s">
        <v>12</v>
      </c>
      <c r="H414">
        <v>787.91</v>
      </c>
    </row>
    <row r="415" spans="1:8">
      <c r="A415">
        <v>1152</v>
      </c>
      <c r="B415" t="s">
        <v>430</v>
      </c>
      <c r="C415" t="s">
        <v>33</v>
      </c>
      <c r="D415" t="s">
        <v>90</v>
      </c>
      <c r="E415" t="s">
        <v>203</v>
      </c>
      <c r="F415" t="s">
        <v>24</v>
      </c>
      <c r="G415" t="s">
        <v>31</v>
      </c>
    </row>
    <row r="416" spans="1:8">
      <c r="A416">
        <v>1362</v>
      </c>
      <c r="B416" t="s">
        <v>300</v>
      </c>
      <c r="C416" t="s">
        <v>15</v>
      </c>
      <c r="D416" t="s">
        <v>16</v>
      </c>
      <c r="E416" t="s">
        <v>48</v>
      </c>
      <c r="F416" t="s">
        <v>45</v>
      </c>
      <c r="G416" t="s">
        <v>76</v>
      </c>
      <c r="H416">
        <v>3211.47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4"/>
  <sheetViews>
    <sheetView workbookViewId="0">
      <selection activeCell="A1" sqref="A1"/>
    </sheetView>
  </sheetViews>
  <sheetFormatPr defaultColWidth="8.67619047619048" defaultRowHeight="15"/>
  <cols>
    <col min="1" max="9" width="1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431</v>
      </c>
      <c r="J1" s="1" t="s">
        <v>432</v>
      </c>
    </row>
    <row r="2" spans="1:10">
      <c r="A2">
        <v>1000</v>
      </c>
      <c r="B2" t="s">
        <v>433</v>
      </c>
      <c r="C2" t="s">
        <v>434</v>
      </c>
      <c r="D2" t="s">
        <v>435</v>
      </c>
      <c r="E2" t="s">
        <v>86</v>
      </c>
      <c r="F2" t="s">
        <v>18</v>
      </c>
      <c r="G2">
        <v>2</v>
      </c>
      <c r="H2">
        <v>2095.22</v>
      </c>
      <c r="I2">
        <v>4190.44</v>
      </c>
      <c r="J2" t="s">
        <v>436</v>
      </c>
    </row>
    <row r="3" spans="1:10">
      <c r="A3">
        <v>1002</v>
      </c>
      <c r="B3" t="s">
        <v>437</v>
      </c>
      <c r="C3" t="s">
        <v>438</v>
      </c>
      <c r="D3" t="s">
        <v>439</v>
      </c>
      <c r="E3" t="s">
        <v>80</v>
      </c>
      <c r="F3" t="s">
        <v>54</v>
      </c>
      <c r="G3">
        <v>3</v>
      </c>
      <c r="H3">
        <v>1968.06</v>
      </c>
      <c r="I3">
        <v>5904.18</v>
      </c>
      <c r="J3" t="s">
        <v>440</v>
      </c>
    </row>
    <row r="4" spans="1:10">
      <c r="A4">
        <v>1005</v>
      </c>
      <c r="B4" t="s">
        <v>211</v>
      </c>
      <c r="C4" t="s">
        <v>38</v>
      </c>
      <c r="D4" t="s">
        <v>435</v>
      </c>
      <c r="E4" t="s">
        <v>187</v>
      </c>
      <c r="F4" t="s">
        <v>54</v>
      </c>
      <c r="G4">
        <v>3</v>
      </c>
      <c r="H4">
        <v>791.55</v>
      </c>
      <c r="I4">
        <v>2374.65</v>
      </c>
      <c r="J4" t="s">
        <v>441</v>
      </c>
    </row>
    <row r="5" spans="1:10">
      <c r="A5">
        <v>1006</v>
      </c>
      <c r="B5" t="s">
        <v>309</v>
      </c>
      <c r="C5" t="s">
        <v>434</v>
      </c>
      <c r="D5" t="s">
        <v>47</v>
      </c>
      <c r="E5" t="s">
        <v>194</v>
      </c>
      <c r="F5" t="s">
        <v>24</v>
      </c>
      <c r="G5">
        <v>2</v>
      </c>
      <c r="H5">
        <v>1539.47</v>
      </c>
      <c r="I5">
        <v>3078.94</v>
      </c>
      <c r="J5" t="s">
        <v>442</v>
      </c>
    </row>
    <row r="6" spans="1:10">
      <c r="A6">
        <v>1007</v>
      </c>
      <c r="B6" t="s">
        <v>443</v>
      </c>
      <c r="C6" t="s">
        <v>434</v>
      </c>
      <c r="D6" t="s">
        <v>439</v>
      </c>
      <c r="E6" t="s">
        <v>167</v>
      </c>
      <c r="F6" t="s">
        <v>30</v>
      </c>
      <c r="G6">
        <v>4</v>
      </c>
      <c r="H6">
        <v>1928.75</v>
      </c>
      <c r="I6">
        <v>7715</v>
      </c>
      <c r="J6" t="s">
        <v>440</v>
      </c>
    </row>
    <row r="7" spans="1:10">
      <c r="A7">
        <v>1010</v>
      </c>
      <c r="B7" t="s">
        <v>183</v>
      </c>
      <c r="C7" t="s">
        <v>438</v>
      </c>
      <c r="D7" t="s">
        <v>435</v>
      </c>
      <c r="E7" t="s">
        <v>74</v>
      </c>
      <c r="F7" t="s">
        <v>45</v>
      </c>
      <c r="G7">
        <v>2</v>
      </c>
      <c r="H7">
        <v>2727.36</v>
      </c>
      <c r="I7">
        <v>5454.72</v>
      </c>
      <c r="J7" t="s">
        <v>442</v>
      </c>
    </row>
    <row r="8" spans="1:10">
      <c r="A8">
        <v>1011</v>
      </c>
      <c r="B8" t="s">
        <v>386</v>
      </c>
      <c r="C8" t="s">
        <v>15</v>
      </c>
      <c r="D8" t="s">
        <v>50</v>
      </c>
      <c r="E8" t="s">
        <v>200</v>
      </c>
      <c r="F8" t="s">
        <v>45</v>
      </c>
      <c r="G8">
        <v>5</v>
      </c>
      <c r="H8">
        <v>874.28</v>
      </c>
      <c r="I8">
        <v>4371.4</v>
      </c>
      <c r="J8" t="s">
        <v>444</v>
      </c>
    </row>
    <row r="9" spans="1:10">
      <c r="A9">
        <v>1012</v>
      </c>
      <c r="B9" t="s">
        <v>89</v>
      </c>
      <c r="C9" t="s">
        <v>38</v>
      </c>
      <c r="D9" t="s">
        <v>99</v>
      </c>
      <c r="E9" t="s">
        <v>91</v>
      </c>
      <c r="F9" t="s">
        <v>45</v>
      </c>
      <c r="G9">
        <v>3</v>
      </c>
      <c r="H9">
        <v>899.75</v>
      </c>
      <c r="I9">
        <v>2699.25</v>
      </c>
      <c r="J9" t="s">
        <v>436</v>
      </c>
    </row>
    <row r="10" spans="1:10">
      <c r="A10">
        <v>1014</v>
      </c>
      <c r="B10" t="s">
        <v>213</v>
      </c>
      <c r="C10" t="s">
        <v>438</v>
      </c>
      <c r="D10" t="s">
        <v>99</v>
      </c>
      <c r="E10" t="s">
        <v>104</v>
      </c>
      <c r="F10" t="s">
        <v>12</v>
      </c>
      <c r="G10">
        <v>5</v>
      </c>
      <c r="H10">
        <v>454.88</v>
      </c>
      <c r="I10">
        <v>2274.4</v>
      </c>
      <c r="J10" t="s">
        <v>445</v>
      </c>
    </row>
    <row r="11" spans="1:10">
      <c r="A11">
        <v>1015</v>
      </c>
      <c r="B11" t="s">
        <v>279</v>
      </c>
      <c r="C11" t="s">
        <v>38</v>
      </c>
      <c r="D11" t="s">
        <v>16</v>
      </c>
      <c r="E11" t="s">
        <v>39</v>
      </c>
      <c r="F11" t="s">
        <v>18</v>
      </c>
      <c r="G11">
        <v>3</v>
      </c>
      <c r="H11">
        <v>1989.12</v>
      </c>
      <c r="I11">
        <v>5967.36</v>
      </c>
      <c r="J11" t="s">
        <v>436</v>
      </c>
    </row>
    <row r="12" spans="1:10">
      <c r="A12">
        <v>1016</v>
      </c>
      <c r="B12" t="s">
        <v>446</v>
      </c>
      <c r="C12" t="s">
        <v>438</v>
      </c>
      <c r="D12" t="s">
        <v>47</v>
      </c>
      <c r="E12" t="s">
        <v>48</v>
      </c>
      <c r="F12" t="s">
        <v>45</v>
      </c>
      <c r="G12">
        <v>2</v>
      </c>
      <c r="H12">
        <v>1078.84</v>
      </c>
      <c r="I12">
        <v>2157.68</v>
      </c>
      <c r="J12" t="s">
        <v>440</v>
      </c>
    </row>
    <row r="13" spans="1:10">
      <c r="A13">
        <v>1018</v>
      </c>
      <c r="B13" t="s">
        <v>344</v>
      </c>
      <c r="C13" t="s">
        <v>38</v>
      </c>
      <c r="D13" t="s">
        <v>99</v>
      </c>
      <c r="E13" t="s">
        <v>74</v>
      </c>
      <c r="F13" t="s">
        <v>18</v>
      </c>
      <c r="G13">
        <v>5</v>
      </c>
      <c r="H13">
        <v>1993.17</v>
      </c>
      <c r="I13">
        <v>9965.85</v>
      </c>
      <c r="J13" t="s">
        <v>441</v>
      </c>
    </row>
    <row r="14" spans="1:10">
      <c r="A14">
        <v>1019</v>
      </c>
      <c r="B14" t="s">
        <v>447</v>
      </c>
      <c r="C14" t="s">
        <v>438</v>
      </c>
      <c r="D14" t="s">
        <v>50</v>
      </c>
      <c r="E14" t="s">
        <v>93</v>
      </c>
      <c r="F14" t="s">
        <v>54</v>
      </c>
      <c r="G14">
        <v>2</v>
      </c>
      <c r="H14">
        <v>1971.43</v>
      </c>
      <c r="I14">
        <v>3942.86</v>
      </c>
      <c r="J14" t="s">
        <v>440</v>
      </c>
    </row>
    <row r="15" spans="1:10">
      <c r="A15">
        <v>1020</v>
      </c>
      <c r="B15" t="s">
        <v>448</v>
      </c>
      <c r="C15" t="s">
        <v>434</v>
      </c>
      <c r="D15" t="s">
        <v>50</v>
      </c>
      <c r="E15" t="s">
        <v>58</v>
      </c>
      <c r="F15" t="s">
        <v>12</v>
      </c>
      <c r="G15">
        <v>2</v>
      </c>
      <c r="H15">
        <v>468.22</v>
      </c>
      <c r="I15">
        <v>936.44</v>
      </c>
      <c r="J15" t="s">
        <v>445</v>
      </c>
    </row>
    <row r="16" spans="1:10">
      <c r="A16">
        <v>1025</v>
      </c>
      <c r="B16" t="s">
        <v>449</v>
      </c>
      <c r="C16" t="s">
        <v>15</v>
      </c>
      <c r="D16" t="s">
        <v>99</v>
      </c>
      <c r="E16" t="s">
        <v>200</v>
      </c>
      <c r="F16" t="s">
        <v>54</v>
      </c>
      <c r="G16">
        <v>4</v>
      </c>
      <c r="H16">
        <v>923.05</v>
      </c>
      <c r="I16">
        <v>3692.2</v>
      </c>
      <c r="J16" t="s">
        <v>450</v>
      </c>
    </row>
    <row r="17" spans="1:10">
      <c r="A17">
        <v>1027</v>
      </c>
      <c r="B17" t="s">
        <v>127</v>
      </c>
      <c r="C17" t="s">
        <v>15</v>
      </c>
      <c r="D17" t="s">
        <v>435</v>
      </c>
      <c r="E17" t="s">
        <v>53</v>
      </c>
      <c r="F17" t="s">
        <v>24</v>
      </c>
      <c r="G17">
        <v>5</v>
      </c>
      <c r="H17">
        <v>962.27</v>
      </c>
      <c r="I17">
        <v>4811.35</v>
      </c>
      <c r="J17" t="s">
        <v>444</v>
      </c>
    </row>
    <row r="18" spans="1:10">
      <c r="A18">
        <v>1028</v>
      </c>
      <c r="B18" t="s">
        <v>451</v>
      </c>
      <c r="C18" t="s">
        <v>38</v>
      </c>
      <c r="D18" t="s">
        <v>16</v>
      </c>
      <c r="E18" t="s">
        <v>11</v>
      </c>
      <c r="F18" t="s">
        <v>30</v>
      </c>
      <c r="G18">
        <v>5</v>
      </c>
      <c r="H18">
        <v>542.24</v>
      </c>
      <c r="I18">
        <v>2711.2</v>
      </c>
      <c r="J18" t="s">
        <v>440</v>
      </c>
    </row>
    <row r="19" spans="1:10">
      <c r="A19">
        <v>1029</v>
      </c>
      <c r="B19" t="s">
        <v>275</v>
      </c>
      <c r="C19" t="s">
        <v>15</v>
      </c>
      <c r="D19" t="s">
        <v>50</v>
      </c>
      <c r="E19" t="s">
        <v>203</v>
      </c>
      <c r="F19" t="s">
        <v>30</v>
      </c>
      <c r="G19">
        <v>5</v>
      </c>
      <c r="H19">
        <v>1644.06</v>
      </c>
      <c r="I19">
        <v>8220.3</v>
      </c>
      <c r="J19" t="s">
        <v>442</v>
      </c>
    </row>
    <row r="20" spans="1:10">
      <c r="A20">
        <v>1031</v>
      </c>
      <c r="B20" t="s">
        <v>128</v>
      </c>
      <c r="C20" t="s">
        <v>438</v>
      </c>
      <c r="D20" t="s">
        <v>22</v>
      </c>
      <c r="E20" t="s">
        <v>129</v>
      </c>
      <c r="F20" t="s">
        <v>54</v>
      </c>
      <c r="G20">
        <v>5</v>
      </c>
      <c r="H20">
        <v>1968.45</v>
      </c>
      <c r="I20">
        <v>9842.25</v>
      </c>
      <c r="J20" t="s">
        <v>441</v>
      </c>
    </row>
    <row r="21" spans="1:10">
      <c r="A21">
        <v>1032</v>
      </c>
      <c r="B21" t="s">
        <v>357</v>
      </c>
      <c r="C21" t="s">
        <v>452</v>
      </c>
      <c r="D21" t="s">
        <v>47</v>
      </c>
      <c r="E21" t="s">
        <v>198</v>
      </c>
      <c r="F21" t="s">
        <v>30</v>
      </c>
      <c r="G21">
        <v>3</v>
      </c>
      <c r="H21">
        <v>1352</v>
      </c>
      <c r="I21">
        <v>4056</v>
      </c>
      <c r="J21" t="s">
        <v>453</v>
      </c>
    </row>
    <row r="22" spans="1:10">
      <c r="A22">
        <v>1033</v>
      </c>
      <c r="B22" t="s">
        <v>103</v>
      </c>
      <c r="C22" t="s">
        <v>38</v>
      </c>
      <c r="D22" t="s">
        <v>439</v>
      </c>
      <c r="E22" t="s">
        <v>115</v>
      </c>
      <c r="F22" t="s">
        <v>18</v>
      </c>
      <c r="G22">
        <v>3</v>
      </c>
      <c r="H22">
        <v>453.27</v>
      </c>
      <c r="I22">
        <v>1359.81</v>
      </c>
      <c r="J22" t="s">
        <v>453</v>
      </c>
    </row>
    <row r="23" spans="1:10">
      <c r="A23">
        <v>1034</v>
      </c>
      <c r="B23" t="s">
        <v>134</v>
      </c>
      <c r="C23" t="s">
        <v>438</v>
      </c>
      <c r="D23" t="s">
        <v>439</v>
      </c>
      <c r="E23" t="s">
        <v>161</v>
      </c>
      <c r="F23" t="s">
        <v>24</v>
      </c>
      <c r="G23">
        <v>2</v>
      </c>
      <c r="H23">
        <v>843.76</v>
      </c>
      <c r="I23">
        <v>1687.52</v>
      </c>
      <c r="J23" t="s">
        <v>445</v>
      </c>
    </row>
    <row r="24" spans="1:10">
      <c r="A24">
        <v>1035</v>
      </c>
      <c r="B24" t="s">
        <v>454</v>
      </c>
      <c r="C24" t="s">
        <v>15</v>
      </c>
      <c r="D24" t="s">
        <v>435</v>
      </c>
      <c r="E24" t="s">
        <v>84</v>
      </c>
      <c r="F24" t="s">
        <v>45</v>
      </c>
      <c r="G24">
        <v>1</v>
      </c>
      <c r="H24">
        <v>522.61</v>
      </c>
      <c r="I24">
        <v>522.61</v>
      </c>
      <c r="J24" t="s">
        <v>453</v>
      </c>
    </row>
    <row r="25" spans="1:10">
      <c r="A25">
        <v>1036</v>
      </c>
      <c r="B25" t="s">
        <v>386</v>
      </c>
      <c r="C25" t="s">
        <v>15</v>
      </c>
      <c r="D25" t="s">
        <v>47</v>
      </c>
      <c r="E25" t="s">
        <v>147</v>
      </c>
      <c r="F25" t="s">
        <v>45</v>
      </c>
      <c r="G25">
        <v>1</v>
      </c>
      <c r="H25">
        <v>2981.42</v>
      </c>
      <c r="I25">
        <v>2981.42</v>
      </c>
      <c r="J25" t="s">
        <v>444</v>
      </c>
    </row>
    <row r="26" spans="1:10">
      <c r="A26">
        <v>1037</v>
      </c>
      <c r="B26" t="s">
        <v>145</v>
      </c>
      <c r="C26" t="s">
        <v>438</v>
      </c>
      <c r="D26" t="s">
        <v>435</v>
      </c>
      <c r="E26" t="s">
        <v>144</v>
      </c>
      <c r="F26" t="s">
        <v>24</v>
      </c>
      <c r="G26">
        <v>4</v>
      </c>
      <c r="H26">
        <v>964.69</v>
      </c>
      <c r="I26">
        <v>3858.76</v>
      </c>
      <c r="J26" t="s">
        <v>455</v>
      </c>
    </row>
    <row r="27" spans="1:10">
      <c r="A27">
        <v>1038</v>
      </c>
      <c r="B27" t="s">
        <v>202</v>
      </c>
      <c r="C27" t="s">
        <v>15</v>
      </c>
      <c r="D27" t="s">
        <v>439</v>
      </c>
      <c r="E27" t="s">
        <v>203</v>
      </c>
      <c r="F27" t="s">
        <v>30</v>
      </c>
      <c r="G27">
        <v>2</v>
      </c>
      <c r="H27">
        <v>276</v>
      </c>
      <c r="I27">
        <v>552</v>
      </c>
      <c r="J27" t="s">
        <v>444</v>
      </c>
    </row>
    <row r="28" spans="1:10">
      <c r="A28">
        <v>1039</v>
      </c>
      <c r="B28" t="s">
        <v>227</v>
      </c>
      <c r="C28" t="s">
        <v>38</v>
      </c>
      <c r="D28" t="s">
        <v>439</v>
      </c>
      <c r="E28" t="s">
        <v>125</v>
      </c>
      <c r="F28" t="s">
        <v>12</v>
      </c>
      <c r="G28">
        <v>2</v>
      </c>
      <c r="H28">
        <v>1020.22</v>
      </c>
      <c r="I28">
        <v>2040.44</v>
      </c>
      <c r="J28" t="s">
        <v>444</v>
      </c>
    </row>
    <row r="29" spans="1:10">
      <c r="A29">
        <v>1042</v>
      </c>
      <c r="B29" t="s">
        <v>111</v>
      </c>
      <c r="C29" t="s">
        <v>15</v>
      </c>
      <c r="D29" t="s">
        <v>22</v>
      </c>
      <c r="E29" t="s">
        <v>243</v>
      </c>
      <c r="F29" t="s">
        <v>24</v>
      </c>
      <c r="G29">
        <v>5</v>
      </c>
      <c r="H29">
        <v>1387.26</v>
      </c>
      <c r="I29">
        <v>6936.3</v>
      </c>
      <c r="J29" t="s">
        <v>450</v>
      </c>
    </row>
    <row r="30" spans="1:10">
      <c r="A30">
        <v>1043</v>
      </c>
      <c r="B30" t="s">
        <v>268</v>
      </c>
      <c r="C30" t="s">
        <v>15</v>
      </c>
      <c r="D30" t="s">
        <v>16</v>
      </c>
      <c r="E30" t="s">
        <v>203</v>
      </c>
      <c r="F30" t="s">
        <v>54</v>
      </c>
      <c r="G30">
        <v>5</v>
      </c>
      <c r="H30">
        <v>752.69</v>
      </c>
      <c r="I30">
        <v>3763.45</v>
      </c>
      <c r="J30" t="s">
        <v>453</v>
      </c>
    </row>
    <row r="31" spans="1:10">
      <c r="A31">
        <v>1045</v>
      </c>
      <c r="B31" t="s">
        <v>279</v>
      </c>
      <c r="C31" t="s">
        <v>38</v>
      </c>
      <c r="D31" t="s">
        <v>99</v>
      </c>
      <c r="E31" t="s">
        <v>44</v>
      </c>
      <c r="F31" t="s">
        <v>18</v>
      </c>
      <c r="G31">
        <v>5</v>
      </c>
      <c r="H31">
        <v>529.59</v>
      </c>
      <c r="I31">
        <v>2647.95</v>
      </c>
      <c r="J31" t="s">
        <v>436</v>
      </c>
    </row>
    <row r="32" spans="1:10">
      <c r="A32">
        <v>1050</v>
      </c>
      <c r="B32" t="s">
        <v>456</v>
      </c>
      <c r="C32" t="s">
        <v>438</v>
      </c>
      <c r="D32" t="s">
        <v>22</v>
      </c>
      <c r="E32" t="s">
        <v>198</v>
      </c>
      <c r="F32" t="s">
        <v>54</v>
      </c>
      <c r="G32">
        <v>5</v>
      </c>
      <c r="H32">
        <v>476.22</v>
      </c>
      <c r="I32">
        <v>2381.1</v>
      </c>
      <c r="J32" t="s">
        <v>450</v>
      </c>
    </row>
    <row r="33" spans="1:10">
      <c r="A33">
        <v>1051</v>
      </c>
      <c r="B33" t="s">
        <v>457</v>
      </c>
      <c r="C33" t="s">
        <v>438</v>
      </c>
      <c r="D33" t="s">
        <v>50</v>
      </c>
      <c r="E33" t="s">
        <v>167</v>
      </c>
      <c r="F33" t="s">
        <v>18</v>
      </c>
      <c r="G33">
        <v>4</v>
      </c>
      <c r="H33">
        <v>293.91</v>
      </c>
      <c r="I33">
        <v>1175.64</v>
      </c>
      <c r="J33" t="s">
        <v>453</v>
      </c>
    </row>
    <row r="34" spans="1:10">
      <c r="A34">
        <v>1052</v>
      </c>
      <c r="B34" t="s">
        <v>458</v>
      </c>
      <c r="C34" t="s">
        <v>15</v>
      </c>
      <c r="D34" t="s">
        <v>50</v>
      </c>
      <c r="E34" t="s">
        <v>129</v>
      </c>
      <c r="F34" t="s">
        <v>30</v>
      </c>
      <c r="G34">
        <v>1</v>
      </c>
      <c r="H34">
        <v>3227.32</v>
      </c>
      <c r="I34">
        <v>3227.32</v>
      </c>
      <c r="J34" t="s">
        <v>436</v>
      </c>
    </row>
    <row r="35" spans="1:10">
      <c r="A35">
        <v>1054</v>
      </c>
      <c r="B35" t="s">
        <v>459</v>
      </c>
      <c r="C35" t="s">
        <v>434</v>
      </c>
      <c r="D35" t="s">
        <v>50</v>
      </c>
      <c r="E35" t="s">
        <v>248</v>
      </c>
      <c r="F35" t="s">
        <v>24</v>
      </c>
      <c r="G35">
        <v>3</v>
      </c>
      <c r="H35">
        <v>1865.08</v>
      </c>
      <c r="I35">
        <v>5595.24</v>
      </c>
      <c r="J35" t="s">
        <v>460</v>
      </c>
    </row>
    <row r="36" spans="1:10">
      <c r="A36">
        <v>1055</v>
      </c>
      <c r="B36" t="s">
        <v>110</v>
      </c>
      <c r="C36" t="s">
        <v>434</v>
      </c>
      <c r="D36" t="s">
        <v>99</v>
      </c>
      <c r="E36" t="s">
        <v>23</v>
      </c>
      <c r="F36" t="s">
        <v>45</v>
      </c>
      <c r="G36">
        <v>3</v>
      </c>
      <c r="H36">
        <v>2976.03</v>
      </c>
      <c r="I36">
        <v>8928.09</v>
      </c>
      <c r="J36" t="s">
        <v>445</v>
      </c>
    </row>
    <row r="37" spans="1:10">
      <c r="A37">
        <v>1056</v>
      </c>
      <c r="B37" t="s">
        <v>224</v>
      </c>
      <c r="C37" t="s">
        <v>38</v>
      </c>
      <c r="D37" t="s">
        <v>22</v>
      </c>
      <c r="E37" t="s">
        <v>113</v>
      </c>
      <c r="F37" t="s">
        <v>45</v>
      </c>
      <c r="G37">
        <v>5</v>
      </c>
      <c r="H37">
        <v>3269.63</v>
      </c>
      <c r="I37">
        <v>16348.15</v>
      </c>
      <c r="J37" t="s">
        <v>441</v>
      </c>
    </row>
    <row r="38" spans="1:10">
      <c r="A38">
        <v>1058</v>
      </c>
      <c r="B38" t="s">
        <v>461</v>
      </c>
      <c r="C38" t="s">
        <v>434</v>
      </c>
      <c r="D38" t="s">
        <v>439</v>
      </c>
      <c r="E38" t="s">
        <v>242</v>
      </c>
      <c r="F38" t="s">
        <v>18</v>
      </c>
      <c r="G38">
        <v>3</v>
      </c>
      <c r="H38">
        <v>1032.86</v>
      </c>
      <c r="I38">
        <v>3098.58</v>
      </c>
      <c r="J38" t="s">
        <v>444</v>
      </c>
    </row>
    <row r="39" spans="1:10">
      <c r="A39">
        <v>1059</v>
      </c>
      <c r="B39" t="s">
        <v>199</v>
      </c>
      <c r="C39" t="s">
        <v>15</v>
      </c>
      <c r="D39" t="s">
        <v>439</v>
      </c>
      <c r="E39" t="s">
        <v>200</v>
      </c>
      <c r="F39" t="s">
        <v>24</v>
      </c>
      <c r="G39">
        <v>2</v>
      </c>
      <c r="H39">
        <v>3190.52</v>
      </c>
      <c r="I39">
        <v>6381.04</v>
      </c>
      <c r="J39" t="s">
        <v>444</v>
      </c>
    </row>
    <row r="40" spans="1:10">
      <c r="A40">
        <v>1060</v>
      </c>
      <c r="B40" t="s">
        <v>110</v>
      </c>
      <c r="C40" t="s">
        <v>15</v>
      </c>
      <c r="D40" t="s">
        <v>50</v>
      </c>
      <c r="E40" t="s">
        <v>17</v>
      </c>
      <c r="F40" t="s">
        <v>18</v>
      </c>
      <c r="G40">
        <v>2</v>
      </c>
      <c r="H40">
        <v>1556.15</v>
      </c>
      <c r="I40">
        <v>3112.3</v>
      </c>
      <c r="J40" t="s">
        <v>445</v>
      </c>
    </row>
    <row r="41" spans="1:10">
      <c r="A41">
        <v>1061</v>
      </c>
      <c r="B41" t="s">
        <v>152</v>
      </c>
      <c r="C41" t="s">
        <v>434</v>
      </c>
      <c r="D41" t="s">
        <v>22</v>
      </c>
      <c r="E41" t="s">
        <v>61</v>
      </c>
      <c r="F41" t="s">
        <v>45</v>
      </c>
      <c r="G41">
        <v>2</v>
      </c>
      <c r="H41">
        <v>299.36</v>
      </c>
      <c r="I41">
        <v>598.72</v>
      </c>
      <c r="J41" t="s">
        <v>441</v>
      </c>
    </row>
    <row r="42" spans="1:10">
      <c r="A42">
        <v>1062</v>
      </c>
      <c r="B42" t="s">
        <v>462</v>
      </c>
      <c r="C42" t="s">
        <v>15</v>
      </c>
      <c r="D42" t="s">
        <v>22</v>
      </c>
      <c r="E42" t="s">
        <v>232</v>
      </c>
      <c r="F42" t="s">
        <v>45</v>
      </c>
      <c r="G42">
        <v>3</v>
      </c>
      <c r="H42">
        <v>934.29</v>
      </c>
      <c r="I42">
        <v>2802.87</v>
      </c>
      <c r="J42" t="s">
        <v>440</v>
      </c>
    </row>
    <row r="43" spans="1:10">
      <c r="A43">
        <v>1063</v>
      </c>
      <c r="B43" t="s">
        <v>463</v>
      </c>
      <c r="C43" t="s">
        <v>15</v>
      </c>
      <c r="D43" t="s">
        <v>47</v>
      </c>
      <c r="E43" t="s">
        <v>136</v>
      </c>
      <c r="F43" t="s">
        <v>12</v>
      </c>
      <c r="G43">
        <v>2</v>
      </c>
      <c r="H43">
        <v>2846.35</v>
      </c>
      <c r="I43">
        <v>5692.7</v>
      </c>
      <c r="J43" t="s">
        <v>444</v>
      </c>
    </row>
    <row r="44" spans="1:10">
      <c r="A44">
        <v>1064</v>
      </c>
      <c r="B44" t="s">
        <v>367</v>
      </c>
      <c r="C44" t="s">
        <v>438</v>
      </c>
      <c r="D44" t="s">
        <v>439</v>
      </c>
      <c r="E44" t="s">
        <v>120</v>
      </c>
      <c r="F44" t="s">
        <v>24</v>
      </c>
      <c r="G44">
        <v>3</v>
      </c>
      <c r="H44">
        <v>723.69</v>
      </c>
      <c r="I44">
        <v>2171.07</v>
      </c>
      <c r="J44" t="s">
        <v>440</v>
      </c>
    </row>
    <row r="45" spans="1:10">
      <c r="A45">
        <v>1065</v>
      </c>
      <c r="B45" t="s">
        <v>224</v>
      </c>
      <c r="C45" t="s">
        <v>434</v>
      </c>
      <c r="D45" t="s">
        <v>22</v>
      </c>
      <c r="E45" t="s">
        <v>80</v>
      </c>
      <c r="F45" t="s">
        <v>30</v>
      </c>
      <c r="G45">
        <v>5</v>
      </c>
      <c r="H45">
        <v>1352.14</v>
      </c>
      <c r="I45">
        <v>6760.7</v>
      </c>
      <c r="J45" t="s">
        <v>441</v>
      </c>
    </row>
    <row r="46" spans="1:10">
      <c r="A46">
        <v>1067</v>
      </c>
      <c r="B46" t="s">
        <v>114</v>
      </c>
      <c r="C46" t="s">
        <v>38</v>
      </c>
      <c r="D46" t="s">
        <v>50</v>
      </c>
      <c r="E46" t="s">
        <v>115</v>
      </c>
      <c r="F46" t="s">
        <v>30</v>
      </c>
      <c r="G46">
        <v>2</v>
      </c>
      <c r="H46">
        <v>1098.23</v>
      </c>
      <c r="I46">
        <v>2196.46</v>
      </c>
      <c r="J46" t="s">
        <v>444</v>
      </c>
    </row>
    <row r="47" spans="1:10">
      <c r="A47">
        <v>1068</v>
      </c>
      <c r="B47" t="s">
        <v>233</v>
      </c>
      <c r="C47" t="s">
        <v>434</v>
      </c>
      <c r="D47" t="s">
        <v>22</v>
      </c>
      <c r="E47" t="s">
        <v>86</v>
      </c>
      <c r="F47" t="s">
        <v>54</v>
      </c>
      <c r="G47">
        <v>4</v>
      </c>
      <c r="H47">
        <v>738.2</v>
      </c>
      <c r="I47">
        <v>2952.8</v>
      </c>
      <c r="J47" t="s">
        <v>440</v>
      </c>
    </row>
    <row r="48" spans="1:10">
      <c r="A48">
        <v>1070</v>
      </c>
      <c r="B48" t="s">
        <v>217</v>
      </c>
      <c r="C48" t="s">
        <v>452</v>
      </c>
      <c r="D48" t="s">
        <v>22</v>
      </c>
      <c r="E48" t="s">
        <v>97</v>
      </c>
      <c r="F48" t="s">
        <v>12</v>
      </c>
      <c r="G48">
        <v>1</v>
      </c>
      <c r="H48">
        <v>2012.65</v>
      </c>
      <c r="I48">
        <v>2012.65</v>
      </c>
      <c r="J48" t="s">
        <v>441</v>
      </c>
    </row>
    <row r="49" spans="1:10">
      <c r="A49">
        <v>1072</v>
      </c>
      <c r="B49" t="s">
        <v>303</v>
      </c>
      <c r="C49" t="s">
        <v>438</v>
      </c>
      <c r="D49" t="s">
        <v>99</v>
      </c>
      <c r="E49" t="s">
        <v>44</v>
      </c>
      <c r="F49" t="s">
        <v>54</v>
      </c>
      <c r="G49">
        <v>3</v>
      </c>
      <c r="H49">
        <v>913.9</v>
      </c>
      <c r="I49">
        <v>2741.7</v>
      </c>
      <c r="J49" t="s">
        <v>445</v>
      </c>
    </row>
    <row r="50" spans="1:10">
      <c r="A50">
        <v>1073</v>
      </c>
      <c r="B50" t="s">
        <v>103</v>
      </c>
      <c r="C50" t="s">
        <v>38</v>
      </c>
      <c r="D50" t="s">
        <v>435</v>
      </c>
      <c r="E50" t="s">
        <v>104</v>
      </c>
      <c r="F50" t="s">
        <v>30</v>
      </c>
      <c r="G50">
        <v>3</v>
      </c>
      <c r="H50">
        <v>1527.82</v>
      </c>
      <c r="I50">
        <v>4583.46</v>
      </c>
      <c r="J50" t="s">
        <v>453</v>
      </c>
    </row>
    <row r="51" spans="1:10">
      <c r="A51">
        <v>1074</v>
      </c>
      <c r="B51" t="s">
        <v>464</v>
      </c>
      <c r="C51" t="s">
        <v>438</v>
      </c>
      <c r="D51" t="s">
        <v>22</v>
      </c>
      <c r="E51" t="s">
        <v>187</v>
      </c>
      <c r="F51" t="s">
        <v>30</v>
      </c>
      <c r="G51">
        <v>3</v>
      </c>
      <c r="H51">
        <v>809.97</v>
      </c>
      <c r="I51">
        <v>2429.91</v>
      </c>
      <c r="J51" t="s">
        <v>442</v>
      </c>
    </row>
    <row r="52" spans="1:10">
      <c r="A52">
        <v>1075</v>
      </c>
      <c r="B52" t="s">
        <v>465</v>
      </c>
      <c r="C52" t="s">
        <v>438</v>
      </c>
      <c r="D52" t="s">
        <v>22</v>
      </c>
      <c r="E52" t="s">
        <v>53</v>
      </c>
      <c r="F52" t="s">
        <v>54</v>
      </c>
      <c r="G52">
        <v>5</v>
      </c>
      <c r="H52">
        <v>466.45</v>
      </c>
      <c r="I52">
        <v>2332.25</v>
      </c>
      <c r="J52" t="s">
        <v>436</v>
      </c>
    </row>
    <row r="53" spans="1:10">
      <c r="A53">
        <v>1076</v>
      </c>
      <c r="B53" t="s">
        <v>367</v>
      </c>
      <c r="C53" t="s">
        <v>434</v>
      </c>
      <c r="D53" t="s">
        <v>99</v>
      </c>
      <c r="E53" t="s">
        <v>86</v>
      </c>
      <c r="F53" t="s">
        <v>12</v>
      </c>
      <c r="G53">
        <v>5</v>
      </c>
      <c r="H53">
        <v>2142.77</v>
      </c>
      <c r="I53">
        <v>10713.85</v>
      </c>
      <c r="J53" t="s">
        <v>440</v>
      </c>
    </row>
    <row r="54" spans="1:10">
      <c r="A54">
        <v>1077</v>
      </c>
      <c r="B54" t="s">
        <v>227</v>
      </c>
      <c r="C54" t="s">
        <v>15</v>
      </c>
      <c r="D54" t="s">
        <v>99</v>
      </c>
      <c r="E54" t="s">
        <v>61</v>
      </c>
      <c r="F54" t="s">
        <v>18</v>
      </c>
      <c r="G54">
        <v>3</v>
      </c>
      <c r="H54">
        <v>851.2</v>
      </c>
      <c r="I54">
        <v>2553.6</v>
      </c>
      <c r="J54" t="s">
        <v>444</v>
      </c>
    </row>
    <row r="55" spans="1:10">
      <c r="A55">
        <v>1078</v>
      </c>
      <c r="B55" t="s">
        <v>263</v>
      </c>
      <c r="C55" t="s">
        <v>438</v>
      </c>
      <c r="D55" t="s">
        <v>99</v>
      </c>
      <c r="E55" t="s">
        <v>108</v>
      </c>
      <c r="F55" t="s">
        <v>24</v>
      </c>
      <c r="G55">
        <v>5</v>
      </c>
      <c r="H55">
        <v>1960.02</v>
      </c>
      <c r="I55">
        <v>9800.1</v>
      </c>
      <c r="J55" t="s">
        <v>455</v>
      </c>
    </row>
    <row r="56" spans="1:10">
      <c r="A56">
        <v>1081</v>
      </c>
      <c r="B56" t="s">
        <v>466</v>
      </c>
      <c r="C56" t="s">
        <v>438</v>
      </c>
      <c r="D56" t="s">
        <v>22</v>
      </c>
      <c r="E56" t="s">
        <v>63</v>
      </c>
      <c r="F56" t="s">
        <v>12</v>
      </c>
      <c r="G56">
        <v>2</v>
      </c>
      <c r="H56">
        <v>1840.92</v>
      </c>
      <c r="I56">
        <v>3681.84</v>
      </c>
      <c r="J56" t="s">
        <v>450</v>
      </c>
    </row>
    <row r="57" spans="1:10">
      <c r="A57">
        <v>1082</v>
      </c>
      <c r="B57" t="s">
        <v>178</v>
      </c>
      <c r="C57" t="s">
        <v>15</v>
      </c>
      <c r="D57" t="s">
        <v>16</v>
      </c>
      <c r="E57" t="s">
        <v>72</v>
      </c>
      <c r="F57" t="s">
        <v>45</v>
      </c>
      <c r="G57">
        <v>2</v>
      </c>
      <c r="H57">
        <v>759.43</v>
      </c>
      <c r="I57">
        <v>1518.86</v>
      </c>
      <c r="J57" t="s">
        <v>450</v>
      </c>
    </row>
    <row r="58" spans="1:10">
      <c r="A58">
        <v>1085</v>
      </c>
      <c r="B58" t="s">
        <v>127</v>
      </c>
      <c r="C58" t="s">
        <v>434</v>
      </c>
      <c r="D58" t="s">
        <v>16</v>
      </c>
      <c r="E58" t="s">
        <v>51</v>
      </c>
      <c r="F58" t="s">
        <v>30</v>
      </c>
      <c r="G58">
        <v>3</v>
      </c>
      <c r="H58">
        <v>282.54</v>
      </c>
      <c r="I58">
        <v>847.62</v>
      </c>
      <c r="J58" t="s">
        <v>444</v>
      </c>
    </row>
    <row r="59" spans="1:10">
      <c r="A59">
        <v>1086</v>
      </c>
      <c r="B59" t="s">
        <v>467</v>
      </c>
      <c r="C59" t="s">
        <v>438</v>
      </c>
      <c r="D59" t="s">
        <v>47</v>
      </c>
      <c r="E59" t="s">
        <v>91</v>
      </c>
      <c r="F59" t="s">
        <v>30</v>
      </c>
      <c r="G59">
        <v>5</v>
      </c>
      <c r="H59">
        <v>1065.88</v>
      </c>
      <c r="I59">
        <v>5329.4</v>
      </c>
      <c r="J59" t="s">
        <v>453</v>
      </c>
    </row>
    <row r="60" spans="1:10">
      <c r="A60">
        <v>1087</v>
      </c>
      <c r="B60" t="s">
        <v>468</v>
      </c>
      <c r="C60" t="s">
        <v>438</v>
      </c>
      <c r="D60" t="s">
        <v>439</v>
      </c>
      <c r="E60" t="s">
        <v>74</v>
      </c>
      <c r="F60" t="s">
        <v>24</v>
      </c>
      <c r="G60">
        <v>3</v>
      </c>
      <c r="H60">
        <v>2740.97</v>
      </c>
      <c r="I60">
        <v>8222.91</v>
      </c>
      <c r="J60" t="s">
        <v>453</v>
      </c>
    </row>
    <row r="61" spans="1:10">
      <c r="A61">
        <v>1089</v>
      </c>
      <c r="B61" t="s">
        <v>283</v>
      </c>
      <c r="C61" t="s">
        <v>38</v>
      </c>
      <c r="D61" t="s">
        <v>16</v>
      </c>
      <c r="E61" t="s">
        <v>113</v>
      </c>
      <c r="F61" t="s">
        <v>30</v>
      </c>
      <c r="G61">
        <v>3</v>
      </c>
      <c r="H61">
        <v>1085.48</v>
      </c>
      <c r="I61">
        <v>3256.44</v>
      </c>
      <c r="J61" t="s">
        <v>450</v>
      </c>
    </row>
    <row r="62" spans="1:10">
      <c r="A62">
        <v>1091</v>
      </c>
      <c r="B62" t="s">
        <v>469</v>
      </c>
      <c r="C62" t="s">
        <v>434</v>
      </c>
      <c r="D62" t="s">
        <v>435</v>
      </c>
      <c r="E62" t="s">
        <v>74</v>
      </c>
      <c r="F62" t="s">
        <v>30</v>
      </c>
      <c r="G62">
        <v>2</v>
      </c>
      <c r="H62">
        <v>2759.3</v>
      </c>
      <c r="I62">
        <v>5518.6</v>
      </c>
      <c r="J62" t="s">
        <v>453</v>
      </c>
    </row>
    <row r="63" spans="1:10">
      <c r="A63">
        <v>1092</v>
      </c>
      <c r="B63" t="s">
        <v>402</v>
      </c>
      <c r="C63" t="s">
        <v>15</v>
      </c>
      <c r="D63" t="s">
        <v>50</v>
      </c>
      <c r="E63" t="s">
        <v>187</v>
      </c>
      <c r="F63" t="s">
        <v>24</v>
      </c>
      <c r="G63">
        <v>3</v>
      </c>
      <c r="H63">
        <v>297.18</v>
      </c>
      <c r="I63">
        <v>891.54</v>
      </c>
      <c r="J63" t="s">
        <v>440</v>
      </c>
    </row>
    <row r="64" spans="1:10">
      <c r="A64">
        <v>1093</v>
      </c>
      <c r="B64" t="s">
        <v>49</v>
      </c>
      <c r="C64" t="s">
        <v>38</v>
      </c>
      <c r="D64" t="s">
        <v>439</v>
      </c>
      <c r="E64" t="s">
        <v>66</v>
      </c>
      <c r="F64" t="s">
        <v>30</v>
      </c>
      <c r="G64">
        <v>3</v>
      </c>
      <c r="H64">
        <v>819.26</v>
      </c>
      <c r="I64">
        <v>2457.78</v>
      </c>
      <c r="J64" t="s">
        <v>442</v>
      </c>
    </row>
    <row r="65" spans="1:10">
      <c r="A65">
        <v>1094</v>
      </c>
      <c r="B65" t="s">
        <v>470</v>
      </c>
      <c r="C65" t="s">
        <v>438</v>
      </c>
      <c r="D65" t="s">
        <v>439</v>
      </c>
      <c r="E65" t="s">
        <v>238</v>
      </c>
      <c r="F65" t="s">
        <v>12</v>
      </c>
      <c r="G65">
        <v>4</v>
      </c>
      <c r="H65">
        <v>1835.23</v>
      </c>
      <c r="I65">
        <v>7340.92</v>
      </c>
      <c r="J65" t="s">
        <v>445</v>
      </c>
    </row>
    <row r="66" spans="1:10">
      <c r="A66">
        <v>1095</v>
      </c>
      <c r="B66" t="s">
        <v>471</v>
      </c>
      <c r="C66" t="s">
        <v>15</v>
      </c>
      <c r="D66" t="s">
        <v>47</v>
      </c>
      <c r="E66" t="s">
        <v>48</v>
      </c>
      <c r="F66" t="s">
        <v>54</v>
      </c>
      <c r="G66">
        <v>1</v>
      </c>
      <c r="H66">
        <v>846.32</v>
      </c>
      <c r="I66">
        <v>846.32</v>
      </c>
      <c r="J66" t="s">
        <v>436</v>
      </c>
    </row>
    <row r="67" spans="1:10">
      <c r="A67">
        <v>1096</v>
      </c>
      <c r="B67" t="s">
        <v>468</v>
      </c>
      <c r="C67" t="s">
        <v>15</v>
      </c>
      <c r="D67" t="s">
        <v>439</v>
      </c>
      <c r="E67" t="s">
        <v>238</v>
      </c>
      <c r="F67" t="s">
        <v>18</v>
      </c>
      <c r="G67">
        <v>3</v>
      </c>
      <c r="H67">
        <v>456.98</v>
      </c>
      <c r="I67">
        <v>1370.94</v>
      </c>
      <c r="J67" t="s">
        <v>453</v>
      </c>
    </row>
    <row r="68" spans="1:10">
      <c r="A68">
        <v>1098</v>
      </c>
      <c r="B68" t="s">
        <v>472</v>
      </c>
      <c r="C68" t="s">
        <v>38</v>
      </c>
      <c r="D68" t="s">
        <v>50</v>
      </c>
      <c r="E68" t="s">
        <v>158</v>
      </c>
      <c r="F68" t="s">
        <v>30</v>
      </c>
      <c r="G68">
        <v>5</v>
      </c>
      <c r="H68">
        <v>2183.72</v>
      </c>
      <c r="I68">
        <v>10918.6</v>
      </c>
      <c r="J68" t="s">
        <v>444</v>
      </c>
    </row>
    <row r="69" spans="1:10">
      <c r="A69">
        <v>1099</v>
      </c>
      <c r="B69" t="s">
        <v>473</v>
      </c>
      <c r="C69" t="s">
        <v>15</v>
      </c>
      <c r="D69" t="s">
        <v>50</v>
      </c>
      <c r="E69" t="s">
        <v>147</v>
      </c>
      <c r="F69" t="s">
        <v>18</v>
      </c>
      <c r="G69">
        <v>3</v>
      </c>
      <c r="H69">
        <v>1456.72</v>
      </c>
      <c r="I69">
        <v>4370.16</v>
      </c>
      <c r="J69" t="s">
        <v>455</v>
      </c>
    </row>
    <row r="70" spans="1:10">
      <c r="A70">
        <v>1100</v>
      </c>
      <c r="B70" t="s">
        <v>474</v>
      </c>
      <c r="C70" t="s">
        <v>434</v>
      </c>
      <c r="D70" t="s">
        <v>99</v>
      </c>
      <c r="E70" t="s">
        <v>230</v>
      </c>
      <c r="F70" t="s">
        <v>24</v>
      </c>
      <c r="G70">
        <v>1</v>
      </c>
      <c r="H70">
        <v>1572.5</v>
      </c>
      <c r="I70">
        <v>1572.5</v>
      </c>
      <c r="J70" t="s">
        <v>460</v>
      </c>
    </row>
    <row r="71" spans="1:10">
      <c r="A71">
        <v>1101</v>
      </c>
      <c r="B71" t="s">
        <v>139</v>
      </c>
      <c r="C71" t="s">
        <v>438</v>
      </c>
      <c r="D71" t="s">
        <v>439</v>
      </c>
      <c r="E71" t="s">
        <v>93</v>
      </c>
      <c r="F71" t="s">
        <v>30</v>
      </c>
      <c r="G71">
        <v>5</v>
      </c>
      <c r="H71">
        <v>2101.18</v>
      </c>
      <c r="I71">
        <v>10505.9</v>
      </c>
      <c r="J71" t="s">
        <v>441</v>
      </c>
    </row>
    <row r="72" spans="1:10">
      <c r="A72">
        <v>1102</v>
      </c>
      <c r="B72" t="s">
        <v>475</v>
      </c>
      <c r="C72" t="s">
        <v>434</v>
      </c>
      <c r="D72" t="s">
        <v>22</v>
      </c>
      <c r="E72" t="s">
        <v>69</v>
      </c>
      <c r="F72" t="s">
        <v>45</v>
      </c>
      <c r="G72">
        <v>1</v>
      </c>
      <c r="H72">
        <v>1458.49</v>
      </c>
      <c r="I72">
        <v>1458.49</v>
      </c>
      <c r="J72" t="s">
        <v>460</v>
      </c>
    </row>
    <row r="73" spans="1:10">
      <c r="A73">
        <v>1103</v>
      </c>
      <c r="B73" t="s">
        <v>476</v>
      </c>
      <c r="C73" t="s">
        <v>15</v>
      </c>
      <c r="D73" t="s">
        <v>435</v>
      </c>
      <c r="E73" t="s">
        <v>29</v>
      </c>
      <c r="F73" t="s">
        <v>30</v>
      </c>
      <c r="G73">
        <v>2</v>
      </c>
      <c r="H73">
        <v>1499.54</v>
      </c>
      <c r="I73">
        <v>2999.08</v>
      </c>
      <c r="J73" t="s">
        <v>455</v>
      </c>
    </row>
    <row r="74" spans="1:10">
      <c r="A74">
        <v>1104</v>
      </c>
      <c r="B74" t="s">
        <v>379</v>
      </c>
      <c r="C74" t="s">
        <v>38</v>
      </c>
      <c r="D74" t="s">
        <v>99</v>
      </c>
      <c r="E74" t="s">
        <v>108</v>
      </c>
      <c r="F74" t="s">
        <v>54</v>
      </c>
      <c r="G74">
        <v>3</v>
      </c>
      <c r="H74">
        <v>3278.81</v>
      </c>
      <c r="I74">
        <v>9836.43</v>
      </c>
      <c r="J74" t="s">
        <v>450</v>
      </c>
    </row>
    <row r="75" spans="1:10">
      <c r="A75">
        <v>1106</v>
      </c>
      <c r="B75" t="s">
        <v>415</v>
      </c>
      <c r="C75" t="s">
        <v>38</v>
      </c>
      <c r="D75" t="s">
        <v>439</v>
      </c>
      <c r="E75" t="s">
        <v>86</v>
      </c>
      <c r="F75" t="s">
        <v>45</v>
      </c>
      <c r="G75">
        <v>1</v>
      </c>
      <c r="H75">
        <v>1614.19</v>
      </c>
      <c r="I75">
        <v>1614.19</v>
      </c>
      <c r="J75" t="s">
        <v>442</v>
      </c>
    </row>
    <row r="76" spans="1:10">
      <c r="A76">
        <v>1107</v>
      </c>
      <c r="B76" t="s">
        <v>477</v>
      </c>
      <c r="C76" t="s">
        <v>438</v>
      </c>
      <c r="D76" t="s">
        <v>47</v>
      </c>
      <c r="E76" t="s">
        <v>48</v>
      </c>
      <c r="F76" t="s">
        <v>24</v>
      </c>
      <c r="G76">
        <v>3</v>
      </c>
      <c r="H76">
        <v>277.46</v>
      </c>
      <c r="I76">
        <v>832.38</v>
      </c>
      <c r="J76" t="s">
        <v>441</v>
      </c>
    </row>
    <row r="77" spans="1:10">
      <c r="A77">
        <v>1108</v>
      </c>
      <c r="B77" t="s">
        <v>478</v>
      </c>
      <c r="C77" t="s">
        <v>38</v>
      </c>
      <c r="D77" t="s">
        <v>435</v>
      </c>
      <c r="E77" t="s">
        <v>84</v>
      </c>
      <c r="F77" t="s">
        <v>30</v>
      </c>
      <c r="G77">
        <v>3</v>
      </c>
      <c r="H77">
        <v>989.74</v>
      </c>
      <c r="I77">
        <v>2969.22</v>
      </c>
      <c r="J77" t="s">
        <v>479</v>
      </c>
    </row>
    <row r="78" spans="1:10">
      <c r="A78">
        <v>1110</v>
      </c>
      <c r="B78" t="s">
        <v>480</v>
      </c>
      <c r="C78" t="s">
        <v>438</v>
      </c>
      <c r="D78" t="s">
        <v>435</v>
      </c>
      <c r="E78" t="s">
        <v>66</v>
      </c>
      <c r="F78" t="s">
        <v>12</v>
      </c>
      <c r="G78">
        <v>2</v>
      </c>
      <c r="H78">
        <v>1945.96</v>
      </c>
      <c r="I78">
        <v>3891.92</v>
      </c>
      <c r="J78" t="s">
        <v>441</v>
      </c>
    </row>
    <row r="79" spans="1:10">
      <c r="A79">
        <v>1111</v>
      </c>
      <c r="B79" t="s">
        <v>481</v>
      </c>
      <c r="C79" t="s">
        <v>434</v>
      </c>
      <c r="D79" t="s">
        <v>435</v>
      </c>
      <c r="E79" t="s">
        <v>104</v>
      </c>
      <c r="F79" t="s">
        <v>45</v>
      </c>
      <c r="G79">
        <v>2</v>
      </c>
      <c r="H79">
        <v>1883.9</v>
      </c>
      <c r="I79">
        <v>3767.8</v>
      </c>
      <c r="J79" t="s">
        <v>445</v>
      </c>
    </row>
    <row r="80" spans="1:10">
      <c r="A80">
        <v>1112</v>
      </c>
      <c r="B80" t="s">
        <v>70</v>
      </c>
      <c r="C80" t="s">
        <v>438</v>
      </c>
      <c r="D80" t="s">
        <v>435</v>
      </c>
      <c r="E80" t="s">
        <v>69</v>
      </c>
      <c r="F80" t="s">
        <v>30</v>
      </c>
      <c r="G80">
        <v>4</v>
      </c>
      <c r="H80">
        <v>318.72</v>
      </c>
      <c r="I80">
        <v>1274.88</v>
      </c>
      <c r="J80" t="s">
        <v>445</v>
      </c>
    </row>
    <row r="81" spans="1:10">
      <c r="A81">
        <v>1113</v>
      </c>
      <c r="B81" t="s">
        <v>399</v>
      </c>
      <c r="C81" t="s">
        <v>15</v>
      </c>
      <c r="D81" t="s">
        <v>439</v>
      </c>
      <c r="E81" t="s">
        <v>51</v>
      </c>
      <c r="F81" t="s">
        <v>12</v>
      </c>
      <c r="G81">
        <v>3</v>
      </c>
      <c r="H81">
        <v>503.01</v>
      </c>
      <c r="I81">
        <v>1509.03</v>
      </c>
      <c r="J81" t="s">
        <v>441</v>
      </c>
    </row>
    <row r="82" spans="1:10">
      <c r="A82">
        <v>1117</v>
      </c>
      <c r="B82" t="s">
        <v>317</v>
      </c>
      <c r="C82" t="s">
        <v>38</v>
      </c>
      <c r="D82" t="s">
        <v>22</v>
      </c>
      <c r="E82" t="s">
        <v>200</v>
      </c>
      <c r="F82" t="s">
        <v>18</v>
      </c>
      <c r="G82">
        <v>2</v>
      </c>
      <c r="H82">
        <v>476.55</v>
      </c>
      <c r="I82">
        <v>953.1</v>
      </c>
      <c r="J82" t="s">
        <v>440</v>
      </c>
    </row>
    <row r="83" spans="1:10">
      <c r="A83">
        <v>1118</v>
      </c>
      <c r="B83" t="s">
        <v>482</v>
      </c>
      <c r="C83" t="s">
        <v>434</v>
      </c>
      <c r="D83" t="s">
        <v>50</v>
      </c>
      <c r="E83" t="s">
        <v>74</v>
      </c>
      <c r="F83" t="s">
        <v>30</v>
      </c>
      <c r="G83">
        <v>3</v>
      </c>
      <c r="H83">
        <v>316.53</v>
      </c>
      <c r="I83">
        <v>949.59</v>
      </c>
      <c r="J83" t="s">
        <v>455</v>
      </c>
    </row>
    <row r="84" spans="1:10">
      <c r="A84">
        <v>1120</v>
      </c>
      <c r="B84" t="s">
        <v>369</v>
      </c>
      <c r="C84" t="s">
        <v>15</v>
      </c>
      <c r="D84" t="s">
        <v>439</v>
      </c>
      <c r="E84" t="s">
        <v>194</v>
      </c>
      <c r="F84" t="s">
        <v>45</v>
      </c>
      <c r="G84">
        <v>2</v>
      </c>
      <c r="H84">
        <v>318.84</v>
      </c>
      <c r="I84">
        <v>637.68</v>
      </c>
      <c r="J84" t="s">
        <v>444</v>
      </c>
    </row>
    <row r="85" spans="1:10">
      <c r="A85">
        <v>1121</v>
      </c>
      <c r="B85" t="s">
        <v>483</v>
      </c>
      <c r="C85" t="s">
        <v>434</v>
      </c>
      <c r="D85" t="s">
        <v>439</v>
      </c>
      <c r="E85" t="s">
        <v>115</v>
      </c>
      <c r="F85" t="s">
        <v>30</v>
      </c>
      <c r="G85">
        <v>2</v>
      </c>
      <c r="H85">
        <v>1847.97</v>
      </c>
      <c r="I85">
        <v>3695.94</v>
      </c>
      <c r="J85" t="s">
        <v>442</v>
      </c>
    </row>
    <row r="86" spans="1:10">
      <c r="A86">
        <v>1122</v>
      </c>
      <c r="B86" t="s">
        <v>386</v>
      </c>
      <c r="C86" t="s">
        <v>434</v>
      </c>
      <c r="D86" t="s">
        <v>439</v>
      </c>
      <c r="E86" t="s">
        <v>48</v>
      </c>
      <c r="F86" t="s">
        <v>12</v>
      </c>
      <c r="G86">
        <v>2</v>
      </c>
      <c r="H86">
        <v>1501.22</v>
      </c>
      <c r="I86">
        <v>3002.44</v>
      </c>
      <c r="J86" t="s">
        <v>444</v>
      </c>
    </row>
    <row r="87" spans="1:10">
      <c r="A87">
        <v>1124</v>
      </c>
      <c r="B87" t="s">
        <v>110</v>
      </c>
      <c r="C87" t="s">
        <v>434</v>
      </c>
      <c r="D87" t="s">
        <v>435</v>
      </c>
      <c r="E87" t="s">
        <v>80</v>
      </c>
      <c r="F87" t="s">
        <v>24</v>
      </c>
      <c r="G87">
        <v>5</v>
      </c>
      <c r="H87">
        <v>775.19</v>
      </c>
      <c r="I87">
        <v>3875.95</v>
      </c>
      <c r="J87" t="s">
        <v>445</v>
      </c>
    </row>
    <row r="88" spans="1:10">
      <c r="A88">
        <v>1125</v>
      </c>
      <c r="B88" t="s">
        <v>484</v>
      </c>
      <c r="C88" t="s">
        <v>15</v>
      </c>
      <c r="D88" t="s">
        <v>47</v>
      </c>
      <c r="E88" t="s">
        <v>232</v>
      </c>
      <c r="F88" t="s">
        <v>54</v>
      </c>
      <c r="G88">
        <v>2</v>
      </c>
      <c r="H88">
        <v>2011.19</v>
      </c>
      <c r="I88">
        <v>4022.38</v>
      </c>
      <c r="J88" t="s">
        <v>442</v>
      </c>
    </row>
    <row r="89" spans="1:10">
      <c r="A89">
        <v>1131</v>
      </c>
      <c r="B89" t="s">
        <v>394</v>
      </c>
      <c r="C89" t="s">
        <v>434</v>
      </c>
      <c r="D89" t="s">
        <v>50</v>
      </c>
      <c r="E89" t="s">
        <v>102</v>
      </c>
      <c r="F89" t="s">
        <v>54</v>
      </c>
      <c r="G89">
        <v>2</v>
      </c>
      <c r="H89">
        <v>1477.8</v>
      </c>
      <c r="I89">
        <v>2955.6</v>
      </c>
      <c r="J89" t="s">
        <v>445</v>
      </c>
    </row>
    <row r="90" spans="1:10">
      <c r="A90">
        <v>1133</v>
      </c>
      <c r="B90" t="s">
        <v>280</v>
      </c>
      <c r="C90" t="s">
        <v>15</v>
      </c>
      <c r="D90" t="s">
        <v>439</v>
      </c>
      <c r="E90" t="s">
        <v>243</v>
      </c>
      <c r="F90" t="s">
        <v>30</v>
      </c>
      <c r="G90">
        <v>2</v>
      </c>
      <c r="H90">
        <v>1073.03</v>
      </c>
      <c r="I90">
        <v>2146.06</v>
      </c>
      <c r="J90" t="s">
        <v>436</v>
      </c>
    </row>
    <row r="91" spans="1:10">
      <c r="A91">
        <v>1134</v>
      </c>
      <c r="B91" t="s">
        <v>485</v>
      </c>
      <c r="C91" t="s">
        <v>38</v>
      </c>
      <c r="D91" t="s">
        <v>16</v>
      </c>
      <c r="E91" t="s">
        <v>74</v>
      </c>
      <c r="F91" t="s">
        <v>18</v>
      </c>
      <c r="G91">
        <v>2</v>
      </c>
      <c r="H91">
        <v>835.34</v>
      </c>
      <c r="I91">
        <v>1670.68</v>
      </c>
      <c r="J91" t="s">
        <v>453</v>
      </c>
    </row>
    <row r="92" spans="1:10">
      <c r="A92">
        <v>1138</v>
      </c>
      <c r="B92" t="s">
        <v>486</v>
      </c>
      <c r="C92" t="s">
        <v>38</v>
      </c>
      <c r="D92" t="s">
        <v>22</v>
      </c>
      <c r="E92" t="s">
        <v>155</v>
      </c>
      <c r="F92" t="s">
        <v>24</v>
      </c>
      <c r="G92">
        <v>2</v>
      </c>
      <c r="H92">
        <v>1527.21</v>
      </c>
      <c r="I92">
        <v>3054.42</v>
      </c>
      <c r="J92" t="s">
        <v>445</v>
      </c>
    </row>
    <row r="93" spans="1:10">
      <c r="A93">
        <v>1141</v>
      </c>
      <c r="B93" t="s">
        <v>487</v>
      </c>
      <c r="C93" t="s">
        <v>15</v>
      </c>
      <c r="D93" t="s">
        <v>22</v>
      </c>
      <c r="E93" t="s">
        <v>238</v>
      </c>
      <c r="F93" t="s">
        <v>30</v>
      </c>
      <c r="G93">
        <v>1</v>
      </c>
      <c r="H93">
        <v>3077.51</v>
      </c>
      <c r="I93">
        <v>3077.51</v>
      </c>
      <c r="J93" t="s">
        <v>444</v>
      </c>
    </row>
    <row r="94" spans="1:10">
      <c r="A94">
        <v>1143</v>
      </c>
      <c r="B94" t="s">
        <v>145</v>
      </c>
      <c r="C94" t="s">
        <v>15</v>
      </c>
      <c r="D94" t="s">
        <v>435</v>
      </c>
      <c r="E94" t="s">
        <v>200</v>
      </c>
      <c r="F94" t="s">
        <v>24</v>
      </c>
      <c r="G94">
        <v>2</v>
      </c>
      <c r="H94">
        <v>808.42</v>
      </c>
      <c r="I94">
        <v>1616.84</v>
      </c>
      <c r="J94" t="s">
        <v>455</v>
      </c>
    </row>
    <row r="95" spans="1:10">
      <c r="A95">
        <v>1144</v>
      </c>
      <c r="B95" t="s">
        <v>209</v>
      </c>
      <c r="C95" t="s">
        <v>15</v>
      </c>
      <c r="D95" t="s">
        <v>16</v>
      </c>
      <c r="E95" t="s">
        <v>106</v>
      </c>
      <c r="F95" t="s">
        <v>54</v>
      </c>
      <c r="G95">
        <v>2</v>
      </c>
      <c r="H95">
        <v>747.91</v>
      </c>
      <c r="I95">
        <v>1495.82</v>
      </c>
      <c r="J95" t="s">
        <v>442</v>
      </c>
    </row>
    <row r="96" spans="1:10">
      <c r="A96">
        <v>1145</v>
      </c>
      <c r="B96" t="s">
        <v>488</v>
      </c>
      <c r="C96" t="s">
        <v>438</v>
      </c>
      <c r="D96" t="s">
        <v>435</v>
      </c>
      <c r="E96" t="s">
        <v>242</v>
      </c>
      <c r="F96" t="s">
        <v>54</v>
      </c>
      <c r="G96">
        <v>5</v>
      </c>
      <c r="H96">
        <v>3171.81</v>
      </c>
      <c r="I96">
        <v>15859.05</v>
      </c>
      <c r="J96" t="s">
        <v>450</v>
      </c>
    </row>
    <row r="97" spans="1:10">
      <c r="A97">
        <v>1146</v>
      </c>
      <c r="B97" t="s">
        <v>489</v>
      </c>
      <c r="C97" t="s">
        <v>38</v>
      </c>
      <c r="D97" t="s">
        <v>439</v>
      </c>
      <c r="E97" t="s">
        <v>29</v>
      </c>
      <c r="F97" t="s">
        <v>30</v>
      </c>
      <c r="G97">
        <v>3</v>
      </c>
      <c r="H97">
        <v>465.29</v>
      </c>
      <c r="I97">
        <v>1395.87</v>
      </c>
      <c r="J97" t="s">
        <v>450</v>
      </c>
    </row>
    <row r="98" spans="1:10">
      <c r="A98">
        <v>1147</v>
      </c>
      <c r="B98" t="s">
        <v>490</v>
      </c>
      <c r="C98" t="s">
        <v>434</v>
      </c>
      <c r="D98" t="s">
        <v>50</v>
      </c>
      <c r="E98" t="s">
        <v>106</v>
      </c>
      <c r="F98" t="s">
        <v>24</v>
      </c>
      <c r="G98">
        <v>4</v>
      </c>
      <c r="H98">
        <v>1021.1</v>
      </c>
      <c r="I98">
        <v>4084.4</v>
      </c>
      <c r="J98" t="s">
        <v>453</v>
      </c>
    </row>
    <row r="99" spans="1:10">
      <c r="A99">
        <v>1148</v>
      </c>
      <c r="B99" t="s">
        <v>399</v>
      </c>
      <c r="C99" t="s">
        <v>434</v>
      </c>
      <c r="D99" t="s">
        <v>50</v>
      </c>
      <c r="E99" t="s">
        <v>129</v>
      </c>
      <c r="F99" t="s">
        <v>18</v>
      </c>
      <c r="G99">
        <v>2</v>
      </c>
      <c r="H99">
        <v>2177.76</v>
      </c>
      <c r="I99">
        <v>4355.52</v>
      </c>
      <c r="J99" t="s">
        <v>441</v>
      </c>
    </row>
    <row r="100" spans="1:10">
      <c r="A100">
        <v>1150</v>
      </c>
      <c r="B100" t="s">
        <v>491</v>
      </c>
      <c r="C100" t="s">
        <v>38</v>
      </c>
      <c r="D100" t="s">
        <v>22</v>
      </c>
      <c r="E100" t="s">
        <v>35</v>
      </c>
      <c r="F100" t="s">
        <v>18</v>
      </c>
      <c r="G100">
        <v>5</v>
      </c>
      <c r="H100">
        <v>1079.98</v>
      </c>
      <c r="I100">
        <v>5399.9</v>
      </c>
      <c r="J100" t="s">
        <v>479</v>
      </c>
    </row>
    <row r="101" spans="1:10">
      <c r="A101">
        <v>1151</v>
      </c>
      <c r="B101" t="s">
        <v>477</v>
      </c>
      <c r="C101" t="s">
        <v>38</v>
      </c>
      <c r="D101" t="s">
        <v>99</v>
      </c>
      <c r="E101" t="s">
        <v>63</v>
      </c>
      <c r="F101" t="s">
        <v>54</v>
      </c>
      <c r="G101">
        <v>3</v>
      </c>
      <c r="H101">
        <v>1461.21</v>
      </c>
      <c r="I101">
        <v>4383.63</v>
      </c>
      <c r="J101" t="s">
        <v>441</v>
      </c>
    </row>
    <row r="102" spans="1:10">
      <c r="A102">
        <v>1153</v>
      </c>
      <c r="B102" t="s">
        <v>492</v>
      </c>
      <c r="C102" t="s">
        <v>438</v>
      </c>
      <c r="D102" t="s">
        <v>50</v>
      </c>
      <c r="E102" t="s">
        <v>120</v>
      </c>
      <c r="F102" t="s">
        <v>54</v>
      </c>
      <c r="G102">
        <v>2</v>
      </c>
      <c r="H102">
        <v>284.4</v>
      </c>
      <c r="I102">
        <v>568.8</v>
      </c>
      <c r="J102" t="s">
        <v>440</v>
      </c>
    </row>
    <row r="103" spans="1:10">
      <c r="A103">
        <v>1154</v>
      </c>
      <c r="B103" t="s">
        <v>386</v>
      </c>
      <c r="C103" t="s">
        <v>434</v>
      </c>
      <c r="D103" t="s">
        <v>435</v>
      </c>
      <c r="E103" t="s">
        <v>48</v>
      </c>
      <c r="F103" t="s">
        <v>54</v>
      </c>
      <c r="G103">
        <v>1</v>
      </c>
      <c r="H103">
        <v>491</v>
      </c>
      <c r="I103">
        <v>491</v>
      </c>
      <c r="J103" t="s">
        <v>444</v>
      </c>
    </row>
    <row r="104" spans="1:10">
      <c r="A104">
        <v>1155</v>
      </c>
      <c r="B104" t="s">
        <v>493</v>
      </c>
      <c r="C104" t="s">
        <v>434</v>
      </c>
      <c r="D104" t="s">
        <v>439</v>
      </c>
      <c r="E104" t="s">
        <v>74</v>
      </c>
      <c r="F104" t="s">
        <v>30</v>
      </c>
      <c r="G104">
        <v>4</v>
      </c>
      <c r="H104">
        <v>1856.5</v>
      </c>
      <c r="I104">
        <v>7426</v>
      </c>
      <c r="J104" t="s">
        <v>436</v>
      </c>
    </row>
    <row r="105" spans="1:10">
      <c r="A105">
        <v>1158</v>
      </c>
      <c r="B105" t="s">
        <v>494</v>
      </c>
      <c r="C105" t="s">
        <v>38</v>
      </c>
      <c r="D105" t="s">
        <v>439</v>
      </c>
      <c r="E105" t="s">
        <v>78</v>
      </c>
      <c r="F105" t="s">
        <v>12</v>
      </c>
      <c r="G105">
        <v>3</v>
      </c>
      <c r="H105">
        <v>290.17</v>
      </c>
      <c r="I105">
        <v>870.51</v>
      </c>
      <c r="J105" t="s">
        <v>455</v>
      </c>
    </row>
    <row r="106" spans="1:10">
      <c r="A106">
        <v>1161</v>
      </c>
      <c r="B106" t="s">
        <v>173</v>
      </c>
      <c r="C106" t="s">
        <v>434</v>
      </c>
      <c r="D106" t="s">
        <v>99</v>
      </c>
      <c r="E106" t="s">
        <v>118</v>
      </c>
      <c r="F106" t="s">
        <v>12</v>
      </c>
      <c r="G106">
        <v>3</v>
      </c>
      <c r="H106">
        <v>1047.61</v>
      </c>
      <c r="I106">
        <v>3142.83</v>
      </c>
      <c r="J106" t="s">
        <v>445</v>
      </c>
    </row>
    <row r="107" spans="1:10">
      <c r="A107">
        <v>1162</v>
      </c>
      <c r="B107" t="s">
        <v>473</v>
      </c>
      <c r="C107" t="s">
        <v>438</v>
      </c>
      <c r="D107" t="s">
        <v>22</v>
      </c>
      <c r="E107" t="s">
        <v>194</v>
      </c>
      <c r="F107" t="s">
        <v>30</v>
      </c>
      <c r="G107">
        <v>5</v>
      </c>
      <c r="H107">
        <v>2748.65</v>
      </c>
      <c r="I107">
        <v>13743.25</v>
      </c>
      <c r="J107" t="s">
        <v>455</v>
      </c>
    </row>
    <row r="108" spans="1:10">
      <c r="A108">
        <v>1163</v>
      </c>
      <c r="B108" t="s">
        <v>270</v>
      </c>
      <c r="C108" t="s">
        <v>38</v>
      </c>
      <c r="D108" t="s">
        <v>99</v>
      </c>
      <c r="E108" t="s">
        <v>35</v>
      </c>
      <c r="F108" t="s">
        <v>12</v>
      </c>
      <c r="G108">
        <v>5</v>
      </c>
      <c r="H108">
        <v>790.36</v>
      </c>
      <c r="I108">
        <v>3951.8</v>
      </c>
      <c r="J108" t="s">
        <v>441</v>
      </c>
    </row>
    <row r="109" spans="1:10">
      <c r="A109">
        <v>1165</v>
      </c>
      <c r="B109" t="s">
        <v>247</v>
      </c>
      <c r="C109" t="s">
        <v>38</v>
      </c>
      <c r="D109" t="s">
        <v>16</v>
      </c>
      <c r="E109" t="s">
        <v>118</v>
      </c>
      <c r="F109" t="s">
        <v>24</v>
      </c>
      <c r="G109">
        <v>3</v>
      </c>
      <c r="H109">
        <v>277.64</v>
      </c>
      <c r="I109">
        <v>832.92</v>
      </c>
      <c r="J109" t="s">
        <v>440</v>
      </c>
    </row>
    <row r="110" spans="1:10">
      <c r="A110">
        <v>1166</v>
      </c>
      <c r="B110" t="s">
        <v>495</v>
      </c>
      <c r="C110" t="s">
        <v>38</v>
      </c>
      <c r="D110" t="s">
        <v>435</v>
      </c>
      <c r="E110" t="s">
        <v>39</v>
      </c>
      <c r="F110" t="s">
        <v>24</v>
      </c>
      <c r="G110">
        <v>2</v>
      </c>
      <c r="H110">
        <v>780.28</v>
      </c>
      <c r="I110">
        <v>1560.56</v>
      </c>
      <c r="J110" t="s">
        <v>445</v>
      </c>
    </row>
    <row r="111" spans="1:10">
      <c r="A111">
        <v>1169</v>
      </c>
      <c r="B111" t="s">
        <v>496</v>
      </c>
      <c r="C111" t="s">
        <v>434</v>
      </c>
      <c r="D111" t="s">
        <v>47</v>
      </c>
      <c r="E111" t="s">
        <v>102</v>
      </c>
      <c r="F111" t="s">
        <v>45</v>
      </c>
      <c r="G111">
        <v>4</v>
      </c>
      <c r="H111">
        <v>277.22</v>
      </c>
      <c r="I111">
        <v>1108.88</v>
      </c>
      <c r="J111" t="s">
        <v>440</v>
      </c>
    </row>
    <row r="112" spans="1:10">
      <c r="A112">
        <v>1170</v>
      </c>
      <c r="B112" t="s">
        <v>317</v>
      </c>
      <c r="C112" t="s">
        <v>38</v>
      </c>
      <c r="D112" t="s">
        <v>439</v>
      </c>
      <c r="E112" t="s">
        <v>158</v>
      </c>
      <c r="F112" t="s">
        <v>24</v>
      </c>
      <c r="G112">
        <v>2</v>
      </c>
      <c r="H112">
        <v>1511.64</v>
      </c>
      <c r="I112">
        <v>3023.28</v>
      </c>
      <c r="J112" t="s">
        <v>440</v>
      </c>
    </row>
    <row r="113" spans="1:10">
      <c r="A113">
        <v>1171</v>
      </c>
      <c r="B113" t="s">
        <v>268</v>
      </c>
      <c r="C113" t="s">
        <v>438</v>
      </c>
      <c r="D113" t="s">
        <v>99</v>
      </c>
      <c r="E113" t="s">
        <v>93</v>
      </c>
      <c r="F113" t="s">
        <v>18</v>
      </c>
      <c r="G113">
        <v>4</v>
      </c>
      <c r="H113">
        <v>2995.41</v>
      </c>
      <c r="I113">
        <v>11981.64</v>
      </c>
      <c r="J113" t="s">
        <v>453</v>
      </c>
    </row>
    <row r="114" spans="1:10">
      <c r="A114">
        <v>1174</v>
      </c>
      <c r="B114" t="s">
        <v>284</v>
      </c>
      <c r="C114" t="s">
        <v>15</v>
      </c>
      <c r="D114" t="s">
        <v>16</v>
      </c>
      <c r="E114" t="s">
        <v>102</v>
      </c>
      <c r="F114" t="s">
        <v>54</v>
      </c>
      <c r="G114">
        <v>2</v>
      </c>
      <c r="H114">
        <v>1394.97</v>
      </c>
      <c r="I114">
        <v>2789.94</v>
      </c>
      <c r="J114" t="s">
        <v>441</v>
      </c>
    </row>
    <row r="115" spans="1:10">
      <c r="A115">
        <v>1177</v>
      </c>
      <c r="B115" t="s">
        <v>92</v>
      </c>
      <c r="C115" t="s">
        <v>434</v>
      </c>
      <c r="D115" t="s">
        <v>439</v>
      </c>
      <c r="E115" t="s">
        <v>39</v>
      </c>
      <c r="F115" t="s">
        <v>30</v>
      </c>
      <c r="G115">
        <v>5</v>
      </c>
      <c r="H115">
        <v>1883.38</v>
      </c>
      <c r="I115">
        <v>9416.9</v>
      </c>
      <c r="J115" t="s">
        <v>445</v>
      </c>
    </row>
    <row r="116" spans="1:10">
      <c r="A116">
        <v>1178</v>
      </c>
      <c r="B116" t="s">
        <v>497</v>
      </c>
      <c r="C116" t="s">
        <v>434</v>
      </c>
      <c r="D116" t="s">
        <v>439</v>
      </c>
      <c r="E116" t="s">
        <v>48</v>
      </c>
      <c r="F116" t="s">
        <v>45</v>
      </c>
      <c r="G116">
        <v>4</v>
      </c>
      <c r="H116">
        <v>3183.35</v>
      </c>
      <c r="I116">
        <v>12733.4</v>
      </c>
      <c r="J116" t="s">
        <v>445</v>
      </c>
    </row>
    <row r="117" spans="1:10">
      <c r="A117">
        <v>1179</v>
      </c>
      <c r="B117" t="s">
        <v>498</v>
      </c>
      <c r="C117" t="s">
        <v>438</v>
      </c>
      <c r="D117" t="s">
        <v>50</v>
      </c>
      <c r="E117" t="s">
        <v>141</v>
      </c>
      <c r="F117" t="s">
        <v>45</v>
      </c>
      <c r="G117">
        <v>4</v>
      </c>
      <c r="H117">
        <v>816.04</v>
      </c>
      <c r="I117">
        <v>3264.16</v>
      </c>
      <c r="J117" t="s">
        <v>445</v>
      </c>
    </row>
    <row r="118" spans="1:10">
      <c r="A118">
        <v>1180</v>
      </c>
      <c r="B118" t="s">
        <v>494</v>
      </c>
      <c r="C118" t="s">
        <v>15</v>
      </c>
      <c r="D118" t="s">
        <v>22</v>
      </c>
      <c r="E118" t="s">
        <v>74</v>
      </c>
      <c r="F118" t="s">
        <v>30</v>
      </c>
      <c r="G118">
        <v>2</v>
      </c>
      <c r="H118">
        <v>757.73</v>
      </c>
      <c r="I118">
        <v>1515.46</v>
      </c>
      <c r="J118" t="s">
        <v>455</v>
      </c>
    </row>
    <row r="119" spans="1:10">
      <c r="A119">
        <v>1181</v>
      </c>
      <c r="B119" t="s">
        <v>353</v>
      </c>
      <c r="C119" t="s">
        <v>434</v>
      </c>
      <c r="D119" t="s">
        <v>22</v>
      </c>
      <c r="E119" t="s">
        <v>256</v>
      </c>
      <c r="F119" t="s">
        <v>30</v>
      </c>
      <c r="G119">
        <v>3</v>
      </c>
      <c r="H119">
        <v>545.18</v>
      </c>
      <c r="I119">
        <v>1635.54</v>
      </c>
      <c r="J119" t="s">
        <v>453</v>
      </c>
    </row>
    <row r="120" spans="1:10">
      <c r="A120">
        <v>1183</v>
      </c>
      <c r="B120" t="s">
        <v>451</v>
      </c>
      <c r="C120" t="s">
        <v>452</v>
      </c>
      <c r="D120" t="s">
        <v>439</v>
      </c>
      <c r="E120" t="s">
        <v>158</v>
      </c>
      <c r="F120" t="s">
        <v>54</v>
      </c>
      <c r="G120">
        <v>1</v>
      </c>
      <c r="H120">
        <v>798.18</v>
      </c>
      <c r="I120">
        <v>798.18</v>
      </c>
      <c r="J120" t="s">
        <v>440</v>
      </c>
    </row>
    <row r="121" spans="1:10">
      <c r="A121">
        <v>1184</v>
      </c>
      <c r="B121" t="s">
        <v>403</v>
      </c>
      <c r="C121" t="s">
        <v>434</v>
      </c>
      <c r="D121" t="s">
        <v>99</v>
      </c>
      <c r="E121" t="s">
        <v>125</v>
      </c>
      <c r="F121" t="s">
        <v>18</v>
      </c>
      <c r="G121">
        <v>5</v>
      </c>
      <c r="H121">
        <v>1945.34</v>
      </c>
      <c r="I121">
        <v>9726.7</v>
      </c>
      <c r="J121" t="s">
        <v>440</v>
      </c>
    </row>
    <row r="122" spans="1:10">
      <c r="A122">
        <v>1185</v>
      </c>
      <c r="B122" t="s">
        <v>303</v>
      </c>
      <c r="C122" t="s">
        <v>38</v>
      </c>
      <c r="D122" t="s">
        <v>16</v>
      </c>
      <c r="E122" t="s">
        <v>91</v>
      </c>
      <c r="F122" t="s">
        <v>54</v>
      </c>
      <c r="G122">
        <v>3</v>
      </c>
      <c r="H122">
        <v>1484.12</v>
      </c>
      <c r="I122">
        <v>4452.36</v>
      </c>
      <c r="J122" t="s">
        <v>445</v>
      </c>
    </row>
    <row r="123" spans="1:10">
      <c r="A123">
        <v>1187</v>
      </c>
      <c r="B123" t="s">
        <v>499</v>
      </c>
      <c r="C123" t="s">
        <v>434</v>
      </c>
      <c r="D123" t="s">
        <v>99</v>
      </c>
      <c r="E123" t="s">
        <v>29</v>
      </c>
      <c r="F123" t="s">
        <v>24</v>
      </c>
      <c r="G123">
        <v>2</v>
      </c>
      <c r="H123">
        <v>2983.25</v>
      </c>
      <c r="I123">
        <v>5966.5</v>
      </c>
      <c r="J123" t="s">
        <v>450</v>
      </c>
    </row>
    <row r="124" spans="1:10">
      <c r="A124">
        <v>1188</v>
      </c>
      <c r="B124" t="s">
        <v>52</v>
      </c>
      <c r="C124" t="s">
        <v>452</v>
      </c>
      <c r="D124" t="s">
        <v>439</v>
      </c>
      <c r="E124" t="s">
        <v>88</v>
      </c>
      <c r="F124" t="s">
        <v>18</v>
      </c>
      <c r="G124">
        <v>3</v>
      </c>
      <c r="H124">
        <v>1570.75</v>
      </c>
      <c r="I124">
        <v>4712.25</v>
      </c>
      <c r="J124" t="s">
        <v>450</v>
      </c>
    </row>
    <row r="125" spans="1:10">
      <c r="A125">
        <v>1188</v>
      </c>
      <c r="B125" t="s">
        <v>52</v>
      </c>
      <c r="C125" t="s">
        <v>38</v>
      </c>
      <c r="D125" t="s">
        <v>439</v>
      </c>
      <c r="E125" t="s">
        <v>88</v>
      </c>
      <c r="F125" t="s">
        <v>18</v>
      </c>
      <c r="G125">
        <v>3</v>
      </c>
      <c r="H125">
        <v>1570.75</v>
      </c>
      <c r="I125">
        <v>4712.25</v>
      </c>
      <c r="J125" t="s">
        <v>450</v>
      </c>
    </row>
    <row r="126" spans="1:10">
      <c r="A126">
        <v>1189</v>
      </c>
      <c r="B126" t="s">
        <v>449</v>
      </c>
      <c r="C126" t="s">
        <v>434</v>
      </c>
      <c r="D126" t="s">
        <v>50</v>
      </c>
      <c r="E126" t="s">
        <v>44</v>
      </c>
      <c r="F126" t="s">
        <v>54</v>
      </c>
      <c r="G126">
        <v>2</v>
      </c>
      <c r="H126">
        <v>826.77</v>
      </c>
      <c r="I126">
        <v>1653.54</v>
      </c>
      <c r="J126" t="s">
        <v>450</v>
      </c>
    </row>
    <row r="127" spans="1:10">
      <c r="A127">
        <v>1191</v>
      </c>
      <c r="B127" t="s">
        <v>464</v>
      </c>
      <c r="C127" t="s">
        <v>438</v>
      </c>
      <c r="D127" t="s">
        <v>99</v>
      </c>
      <c r="E127" t="s">
        <v>230</v>
      </c>
      <c r="F127" t="s">
        <v>24</v>
      </c>
      <c r="G127">
        <v>2</v>
      </c>
      <c r="H127">
        <v>450.99</v>
      </c>
      <c r="I127">
        <v>901.98</v>
      </c>
      <c r="J127" t="s">
        <v>442</v>
      </c>
    </row>
    <row r="128" spans="1:10">
      <c r="A128">
        <v>1192</v>
      </c>
      <c r="B128" t="s">
        <v>128</v>
      </c>
      <c r="C128" t="s">
        <v>438</v>
      </c>
      <c r="D128" t="s">
        <v>47</v>
      </c>
      <c r="E128" t="s">
        <v>58</v>
      </c>
      <c r="F128" t="s">
        <v>54</v>
      </c>
      <c r="G128">
        <v>3</v>
      </c>
      <c r="H128">
        <v>1411.26</v>
      </c>
      <c r="I128">
        <v>4233.78</v>
      </c>
      <c r="J128" t="s">
        <v>441</v>
      </c>
    </row>
    <row r="129" spans="1:10">
      <c r="A129">
        <v>1193</v>
      </c>
      <c r="B129" t="s">
        <v>489</v>
      </c>
      <c r="C129" t="s">
        <v>38</v>
      </c>
      <c r="D129" t="s">
        <v>435</v>
      </c>
      <c r="E129" t="s">
        <v>108</v>
      </c>
      <c r="F129" t="s">
        <v>30</v>
      </c>
      <c r="G129">
        <v>2</v>
      </c>
      <c r="H129">
        <v>1455.32</v>
      </c>
      <c r="I129">
        <v>2910.64</v>
      </c>
      <c r="J129" t="s">
        <v>450</v>
      </c>
    </row>
    <row r="130" spans="1:10">
      <c r="A130">
        <v>1194</v>
      </c>
      <c r="B130" t="s">
        <v>227</v>
      </c>
      <c r="C130" t="s">
        <v>438</v>
      </c>
      <c r="D130" t="s">
        <v>435</v>
      </c>
      <c r="E130" t="s">
        <v>80</v>
      </c>
      <c r="F130" t="s">
        <v>30</v>
      </c>
      <c r="G130">
        <v>5</v>
      </c>
      <c r="H130">
        <v>543.06</v>
      </c>
      <c r="I130">
        <v>2715.3</v>
      </c>
      <c r="J130" t="s">
        <v>444</v>
      </c>
    </row>
    <row r="131" spans="1:10">
      <c r="A131">
        <v>1195</v>
      </c>
      <c r="B131" t="s">
        <v>500</v>
      </c>
      <c r="C131" t="s">
        <v>38</v>
      </c>
      <c r="D131" t="s">
        <v>50</v>
      </c>
      <c r="E131" t="s">
        <v>158</v>
      </c>
      <c r="F131" t="s">
        <v>30</v>
      </c>
      <c r="G131">
        <v>5</v>
      </c>
      <c r="H131">
        <v>738.58</v>
      </c>
      <c r="I131">
        <v>3692.9</v>
      </c>
      <c r="J131" t="s">
        <v>441</v>
      </c>
    </row>
    <row r="132" spans="1:10">
      <c r="A132">
        <v>1196</v>
      </c>
      <c r="B132" t="s">
        <v>220</v>
      </c>
      <c r="C132" t="s">
        <v>15</v>
      </c>
      <c r="D132" t="s">
        <v>22</v>
      </c>
      <c r="E132" t="s">
        <v>72</v>
      </c>
      <c r="F132" t="s">
        <v>12</v>
      </c>
      <c r="G132">
        <v>2</v>
      </c>
      <c r="H132">
        <v>866.76</v>
      </c>
      <c r="I132">
        <v>1733.52</v>
      </c>
      <c r="J132" t="s">
        <v>442</v>
      </c>
    </row>
    <row r="133" spans="1:10">
      <c r="A133">
        <v>1197</v>
      </c>
      <c r="B133" t="s">
        <v>501</v>
      </c>
      <c r="C133" t="s">
        <v>434</v>
      </c>
      <c r="D133" t="s">
        <v>16</v>
      </c>
      <c r="E133" t="s">
        <v>167</v>
      </c>
      <c r="F133" t="s">
        <v>12</v>
      </c>
      <c r="G133">
        <v>3</v>
      </c>
      <c r="H133">
        <v>305.92</v>
      </c>
      <c r="I133">
        <v>917.76</v>
      </c>
      <c r="J133" t="s">
        <v>441</v>
      </c>
    </row>
    <row r="134" spans="1:10">
      <c r="A134">
        <v>1199</v>
      </c>
      <c r="B134" t="s">
        <v>87</v>
      </c>
      <c r="C134" t="s">
        <v>438</v>
      </c>
      <c r="D134" t="s">
        <v>50</v>
      </c>
      <c r="E134" t="s">
        <v>23</v>
      </c>
      <c r="F134" t="s">
        <v>18</v>
      </c>
      <c r="G134">
        <v>5</v>
      </c>
      <c r="H134">
        <v>764.71</v>
      </c>
      <c r="I134">
        <v>3823.55</v>
      </c>
      <c r="J134" t="s">
        <v>453</v>
      </c>
    </row>
    <row r="135" spans="1:10">
      <c r="A135">
        <v>1200</v>
      </c>
      <c r="B135" t="s">
        <v>502</v>
      </c>
      <c r="C135" t="s">
        <v>452</v>
      </c>
      <c r="D135" t="s">
        <v>50</v>
      </c>
      <c r="E135" t="s">
        <v>84</v>
      </c>
      <c r="F135" t="s">
        <v>18</v>
      </c>
      <c r="G135">
        <v>1</v>
      </c>
      <c r="H135">
        <v>2937.22</v>
      </c>
      <c r="I135">
        <v>2937.22</v>
      </c>
      <c r="J135" t="s">
        <v>441</v>
      </c>
    </row>
    <row r="136" spans="1:10">
      <c r="A136">
        <v>1201</v>
      </c>
      <c r="B136" t="s">
        <v>503</v>
      </c>
      <c r="C136" t="s">
        <v>434</v>
      </c>
      <c r="D136" t="s">
        <v>22</v>
      </c>
      <c r="E136" t="s">
        <v>230</v>
      </c>
      <c r="F136" t="s">
        <v>30</v>
      </c>
      <c r="G136">
        <v>2</v>
      </c>
      <c r="H136">
        <v>764.57</v>
      </c>
      <c r="I136">
        <v>1529.14</v>
      </c>
      <c r="J136" t="s">
        <v>444</v>
      </c>
    </row>
    <row r="137" spans="1:10">
      <c r="A137">
        <v>1202</v>
      </c>
      <c r="B137" t="s">
        <v>504</v>
      </c>
      <c r="C137" t="s">
        <v>438</v>
      </c>
      <c r="D137" t="s">
        <v>22</v>
      </c>
      <c r="E137" t="s">
        <v>93</v>
      </c>
      <c r="F137" t="s">
        <v>54</v>
      </c>
      <c r="G137">
        <v>2</v>
      </c>
      <c r="H137">
        <v>522.07</v>
      </c>
      <c r="I137">
        <v>1044.14</v>
      </c>
      <c r="J137" t="s">
        <v>450</v>
      </c>
    </row>
    <row r="138" spans="1:10">
      <c r="A138">
        <v>1203</v>
      </c>
      <c r="B138" t="s">
        <v>289</v>
      </c>
      <c r="C138" t="s">
        <v>434</v>
      </c>
      <c r="D138" t="s">
        <v>439</v>
      </c>
      <c r="E138" t="s">
        <v>238</v>
      </c>
      <c r="F138" t="s">
        <v>18</v>
      </c>
      <c r="G138">
        <v>3</v>
      </c>
      <c r="H138">
        <v>1605.77</v>
      </c>
      <c r="I138">
        <v>4817.31</v>
      </c>
      <c r="J138" t="s">
        <v>445</v>
      </c>
    </row>
    <row r="139" spans="1:10">
      <c r="A139">
        <v>1204</v>
      </c>
      <c r="B139" t="s">
        <v>52</v>
      </c>
      <c r="C139" t="s">
        <v>452</v>
      </c>
      <c r="D139" t="s">
        <v>50</v>
      </c>
      <c r="E139" t="s">
        <v>53</v>
      </c>
      <c r="F139" t="s">
        <v>54</v>
      </c>
      <c r="G139">
        <v>5</v>
      </c>
      <c r="H139">
        <v>496.75</v>
      </c>
      <c r="I139">
        <v>2483.75</v>
      </c>
      <c r="J139" t="s">
        <v>450</v>
      </c>
    </row>
    <row r="140" spans="1:10">
      <c r="A140">
        <v>1206</v>
      </c>
      <c r="B140" t="s">
        <v>146</v>
      </c>
      <c r="C140" t="s">
        <v>38</v>
      </c>
      <c r="D140" t="s">
        <v>50</v>
      </c>
      <c r="E140" t="s">
        <v>48</v>
      </c>
      <c r="F140" t="s">
        <v>18</v>
      </c>
      <c r="G140">
        <v>3</v>
      </c>
      <c r="H140">
        <v>2000.01</v>
      </c>
      <c r="I140">
        <v>6000.03</v>
      </c>
      <c r="J140" t="s">
        <v>445</v>
      </c>
    </row>
    <row r="141" spans="1:10">
      <c r="A141">
        <v>1207</v>
      </c>
      <c r="B141" t="s">
        <v>488</v>
      </c>
      <c r="C141" t="s">
        <v>434</v>
      </c>
      <c r="D141" t="s">
        <v>22</v>
      </c>
      <c r="E141" t="s">
        <v>120</v>
      </c>
      <c r="F141" t="s">
        <v>18</v>
      </c>
      <c r="G141">
        <v>4</v>
      </c>
      <c r="H141">
        <v>496.82</v>
      </c>
      <c r="I141">
        <v>1987.28</v>
      </c>
      <c r="J141" t="s">
        <v>450</v>
      </c>
    </row>
    <row r="142" spans="1:10">
      <c r="A142">
        <v>1208</v>
      </c>
      <c r="B142" t="s">
        <v>505</v>
      </c>
      <c r="C142" t="s">
        <v>438</v>
      </c>
      <c r="D142" t="s">
        <v>16</v>
      </c>
      <c r="E142" t="s">
        <v>118</v>
      </c>
      <c r="F142" t="s">
        <v>24</v>
      </c>
      <c r="G142">
        <v>4</v>
      </c>
      <c r="H142">
        <v>2847.53</v>
      </c>
      <c r="I142">
        <v>11390.12</v>
      </c>
      <c r="J142" t="s">
        <v>506</v>
      </c>
    </row>
    <row r="143" spans="1:10">
      <c r="A143">
        <v>1209</v>
      </c>
      <c r="B143" t="s">
        <v>507</v>
      </c>
      <c r="C143" t="s">
        <v>38</v>
      </c>
      <c r="D143" t="s">
        <v>99</v>
      </c>
      <c r="E143" t="s">
        <v>102</v>
      </c>
      <c r="F143" t="s">
        <v>30</v>
      </c>
      <c r="G143">
        <v>2</v>
      </c>
      <c r="H143">
        <v>318.66</v>
      </c>
      <c r="I143">
        <v>637.32</v>
      </c>
      <c r="J143" t="s">
        <v>506</v>
      </c>
    </row>
    <row r="144" spans="1:10">
      <c r="A144">
        <v>1210</v>
      </c>
      <c r="B144" t="s">
        <v>103</v>
      </c>
      <c r="C144" t="s">
        <v>38</v>
      </c>
      <c r="D144" t="s">
        <v>16</v>
      </c>
      <c r="E144" t="s">
        <v>198</v>
      </c>
      <c r="F144" t="s">
        <v>54</v>
      </c>
      <c r="G144">
        <v>4</v>
      </c>
      <c r="H144">
        <v>2032.24</v>
      </c>
      <c r="I144">
        <v>8128.96</v>
      </c>
      <c r="J144" t="s">
        <v>453</v>
      </c>
    </row>
    <row r="145" spans="1:10">
      <c r="A145">
        <v>1213</v>
      </c>
      <c r="B145" t="s">
        <v>498</v>
      </c>
      <c r="C145" t="s">
        <v>438</v>
      </c>
      <c r="D145" t="s">
        <v>99</v>
      </c>
      <c r="E145" t="s">
        <v>91</v>
      </c>
      <c r="F145" t="s">
        <v>45</v>
      </c>
      <c r="G145">
        <v>3</v>
      </c>
      <c r="H145">
        <v>2780.33</v>
      </c>
      <c r="I145">
        <v>8340.99</v>
      </c>
      <c r="J145" t="s">
        <v>445</v>
      </c>
    </row>
    <row r="146" spans="1:10">
      <c r="A146">
        <v>1214</v>
      </c>
      <c r="B146" t="s">
        <v>188</v>
      </c>
      <c r="C146" t="s">
        <v>15</v>
      </c>
      <c r="D146" t="s">
        <v>50</v>
      </c>
      <c r="E146" t="s">
        <v>187</v>
      </c>
      <c r="F146" t="s">
        <v>45</v>
      </c>
      <c r="G146">
        <v>3</v>
      </c>
      <c r="H146">
        <v>309.93</v>
      </c>
      <c r="I146">
        <v>929.79</v>
      </c>
      <c r="J146" t="s">
        <v>440</v>
      </c>
    </row>
    <row r="147" spans="1:10">
      <c r="A147">
        <v>1215</v>
      </c>
      <c r="B147" t="s">
        <v>508</v>
      </c>
      <c r="C147" t="s">
        <v>15</v>
      </c>
      <c r="D147" t="s">
        <v>16</v>
      </c>
      <c r="E147" t="s">
        <v>243</v>
      </c>
      <c r="F147" t="s">
        <v>30</v>
      </c>
      <c r="G147">
        <v>3</v>
      </c>
      <c r="H147">
        <v>2190.39</v>
      </c>
      <c r="I147">
        <v>6571.17</v>
      </c>
      <c r="J147" t="s">
        <v>455</v>
      </c>
    </row>
    <row r="148" spans="1:10">
      <c r="A148">
        <v>1216</v>
      </c>
      <c r="B148" t="s">
        <v>509</v>
      </c>
      <c r="C148" t="s">
        <v>15</v>
      </c>
      <c r="D148" t="s">
        <v>16</v>
      </c>
      <c r="E148" t="s">
        <v>256</v>
      </c>
      <c r="F148" t="s">
        <v>18</v>
      </c>
      <c r="G148">
        <v>4</v>
      </c>
      <c r="H148">
        <v>968.26</v>
      </c>
      <c r="I148">
        <v>3873.04</v>
      </c>
      <c r="J148" t="s">
        <v>436</v>
      </c>
    </row>
    <row r="149" spans="1:10">
      <c r="A149">
        <v>1217</v>
      </c>
      <c r="B149" t="s">
        <v>433</v>
      </c>
      <c r="C149" t="s">
        <v>15</v>
      </c>
      <c r="D149" t="s">
        <v>439</v>
      </c>
      <c r="E149" t="s">
        <v>39</v>
      </c>
      <c r="F149" t="s">
        <v>54</v>
      </c>
      <c r="G149">
        <v>4</v>
      </c>
      <c r="H149">
        <v>455.82</v>
      </c>
      <c r="I149">
        <v>1823.28</v>
      </c>
      <c r="J149" t="s">
        <v>436</v>
      </c>
    </row>
    <row r="150" spans="1:10">
      <c r="A150">
        <v>1219</v>
      </c>
      <c r="B150" t="s">
        <v>503</v>
      </c>
      <c r="C150" t="s">
        <v>38</v>
      </c>
      <c r="D150" t="s">
        <v>439</v>
      </c>
      <c r="E150" t="s">
        <v>200</v>
      </c>
      <c r="F150" t="s">
        <v>24</v>
      </c>
      <c r="G150">
        <v>2</v>
      </c>
      <c r="H150">
        <v>479.22</v>
      </c>
      <c r="I150">
        <v>958.44</v>
      </c>
      <c r="J150" t="s">
        <v>444</v>
      </c>
    </row>
    <row r="151" spans="1:10">
      <c r="A151">
        <v>1222</v>
      </c>
      <c r="B151" t="s">
        <v>510</v>
      </c>
      <c r="C151" t="s">
        <v>438</v>
      </c>
      <c r="D151" t="s">
        <v>435</v>
      </c>
      <c r="E151" t="s">
        <v>48</v>
      </c>
      <c r="F151" t="s">
        <v>24</v>
      </c>
      <c r="G151">
        <v>3</v>
      </c>
      <c r="H151">
        <v>2976.82</v>
      </c>
      <c r="I151">
        <v>8930.46</v>
      </c>
      <c r="J151" t="s">
        <v>444</v>
      </c>
    </row>
    <row r="152" spans="1:10">
      <c r="A152">
        <v>1223</v>
      </c>
      <c r="B152" t="s">
        <v>247</v>
      </c>
      <c r="C152" t="s">
        <v>15</v>
      </c>
      <c r="D152" t="s">
        <v>435</v>
      </c>
      <c r="E152" t="s">
        <v>100</v>
      </c>
      <c r="F152" t="s">
        <v>18</v>
      </c>
      <c r="G152">
        <v>2</v>
      </c>
      <c r="H152">
        <v>1830.71</v>
      </c>
      <c r="I152">
        <v>3661.42</v>
      </c>
      <c r="J152" t="s">
        <v>440</v>
      </c>
    </row>
    <row r="153" spans="1:10">
      <c r="A153">
        <v>1225</v>
      </c>
      <c r="B153" t="s">
        <v>480</v>
      </c>
      <c r="C153" t="s">
        <v>438</v>
      </c>
      <c r="D153" t="s">
        <v>22</v>
      </c>
      <c r="E153" t="s">
        <v>48</v>
      </c>
      <c r="F153" t="s">
        <v>54</v>
      </c>
      <c r="G153">
        <v>4</v>
      </c>
      <c r="H153">
        <v>545.12</v>
      </c>
      <c r="I153">
        <v>2180.48</v>
      </c>
      <c r="J153" t="s">
        <v>441</v>
      </c>
    </row>
    <row r="154" spans="1:10">
      <c r="A154">
        <v>1229</v>
      </c>
      <c r="B154" t="s">
        <v>247</v>
      </c>
      <c r="C154" t="s">
        <v>15</v>
      </c>
      <c r="D154" t="s">
        <v>435</v>
      </c>
      <c r="E154" t="s">
        <v>248</v>
      </c>
      <c r="F154" t="s">
        <v>18</v>
      </c>
      <c r="G154">
        <v>3</v>
      </c>
      <c r="H154">
        <v>1598.94</v>
      </c>
      <c r="I154">
        <v>4796.82</v>
      </c>
      <c r="J154" t="s">
        <v>440</v>
      </c>
    </row>
    <row r="155" spans="1:10">
      <c r="A155">
        <v>1231</v>
      </c>
      <c r="B155" t="s">
        <v>511</v>
      </c>
      <c r="C155" t="s">
        <v>434</v>
      </c>
      <c r="D155" t="s">
        <v>16</v>
      </c>
      <c r="E155" t="s">
        <v>72</v>
      </c>
      <c r="F155" t="s">
        <v>54</v>
      </c>
      <c r="G155">
        <v>1</v>
      </c>
      <c r="H155">
        <v>2702.93</v>
      </c>
      <c r="I155">
        <v>2702.93</v>
      </c>
      <c r="J155" t="s">
        <v>450</v>
      </c>
    </row>
    <row r="156" spans="1:10">
      <c r="A156">
        <v>1232</v>
      </c>
      <c r="B156" t="s">
        <v>512</v>
      </c>
      <c r="C156" t="s">
        <v>434</v>
      </c>
      <c r="D156" t="s">
        <v>435</v>
      </c>
      <c r="E156" t="s">
        <v>74</v>
      </c>
      <c r="F156" t="s">
        <v>45</v>
      </c>
      <c r="G156">
        <v>2</v>
      </c>
      <c r="H156">
        <v>306.05</v>
      </c>
      <c r="I156">
        <v>612.1</v>
      </c>
      <c r="J156" t="s">
        <v>436</v>
      </c>
    </row>
    <row r="157" spans="1:10">
      <c r="A157">
        <v>1233</v>
      </c>
      <c r="B157" t="s">
        <v>463</v>
      </c>
      <c r="C157" t="s">
        <v>434</v>
      </c>
      <c r="D157" t="s">
        <v>99</v>
      </c>
      <c r="E157" t="s">
        <v>61</v>
      </c>
      <c r="F157" t="s">
        <v>30</v>
      </c>
      <c r="G157">
        <v>3</v>
      </c>
      <c r="H157">
        <v>270.1</v>
      </c>
      <c r="I157">
        <v>810.3</v>
      </c>
      <c r="J157" t="s">
        <v>444</v>
      </c>
    </row>
    <row r="158" spans="1:10">
      <c r="A158">
        <v>1239</v>
      </c>
      <c r="B158" t="s">
        <v>513</v>
      </c>
      <c r="C158" t="s">
        <v>15</v>
      </c>
      <c r="D158" t="s">
        <v>47</v>
      </c>
      <c r="E158" t="s">
        <v>44</v>
      </c>
      <c r="F158" t="s">
        <v>45</v>
      </c>
      <c r="G158">
        <v>2</v>
      </c>
      <c r="H158">
        <v>745.06</v>
      </c>
      <c r="I158">
        <v>1490.12</v>
      </c>
      <c r="J158" t="s">
        <v>445</v>
      </c>
    </row>
    <row r="159" spans="1:10">
      <c r="A159">
        <v>1240</v>
      </c>
      <c r="B159" t="s">
        <v>185</v>
      </c>
      <c r="C159" t="s">
        <v>15</v>
      </c>
      <c r="D159" t="s">
        <v>47</v>
      </c>
      <c r="E159" t="s">
        <v>29</v>
      </c>
      <c r="F159" t="s">
        <v>24</v>
      </c>
      <c r="G159">
        <v>2</v>
      </c>
      <c r="H159">
        <v>1572.59</v>
      </c>
      <c r="I159">
        <v>3145.18</v>
      </c>
      <c r="J159" t="s">
        <v>442</v>
      </c>
    </row>
    <row r="160" spans="1:10">
      <c r="A160">
        <v>1242</v>
      </c>
      <c r="B160" t="s">
        <v>367</v>
      </c>
      <c r="C160" t="s">
        <v>438</v>
      </c>
      <c r="D160" t="s">
        <v>22</v>
      </c>
      <c r="E160" t="s">
        <v>115</v>
      </c>
      <c r="F160" t="s">
        <v>45</v>
      </c>
      <c r="G160">
        <v>3</v>
      </c>
      <c r="H160">
        <v>516.93</v>
      </c>
      <c r="I160">
        <v>1550.79</v>
      </c>
      <c r="J160" t="s">
        <v>440</v>
      </c>
    </row>
    <row r="161" spans="1:10">
      <c r="A161">
        <v>1243</v>
      </c>
      <c r="B161" t="s">
        <v>514</v>
      </c>
      <c r="C161" t="s">
        <v>38</v>
      </c>
      <c r="D161" t="s">
        <v>99</v>
      </c>
      <c r="E161" t="s">
        <v>80</v>
      </c>
      <c r="F161" t="s">
        <v>18</v>
      </c>
      <c r="G161">
        <v>3</v>
      </c>
      <c r="H161">
        <v>2112.5</v>
      </c>
      <c r="I161">
        <v>6337.5</v>
      </c>
      <c r="J161" t="s">
        <v>455</v>
      </c>
    </row>
    <row r="162" spans="1:10">
      <c r="A162">
        <v>1244</v>
      </c>
      <c r="B162" t="s">
        <v>515</v>
      </c>
      <c r="C162" t="s">
        <v>38</v>
      </c>
      <c r="D162" t="s">
        <v>99</v>
      </c>
      <c r="E162" t="s">
        <v>48</v>
      </c>
      <c r="F162" t="s">
        <v>45</v>
      </c>
      <c r="G162">
        <v>2</v>
      </c>
      <c r="H162">
        <v>2860.91</v>
      </c>
      <c r="I162">
        <v>5721.82</v>
      </c>
      <c r="J162" t="s">
        <v>441</v>
      </c>
    </row>
    <row r="163" spans="1:10">
      <c r="A163">
        <v>1247</v>
      </c>
      <c r="B163" t="s">
        <v>225</v>
      </c>
      <c r="C163" t="s">
        <v>434</v>
      </c>
      <c r="D163" t="s">
        <v>22</v>
      </c>
      <c r="E163" t="s">
        <v>226</v>
      </c>
      <c r="F163" t="s">
        <v>18</v>
      </c>
      <c r="G163">
        <v>2</v>
      </c>
      <c r="H163">
        <v>492.48</v>
      </c>
      <c r="I163">
        <v>984.96</v>
      </c>
      <c r="J163" t="s">
        <v>453</v>
      </c>
    </row>
    <row r="164" spans="1:10">
      <c r="A164">
        <v>1251</v>
      </c>
      <c r="B164" t="s">
        <v>466</v>
      </c>
      <c r="C164" t="s">
        <v>38</v>
      </c>
      <c r="D164" t="s">
        <v>50</v>
      </c>
      <c r="E164" t="s">
        <v>80</v>
      </c>
      <c r="F164" t="s">
        <v>45</v>
      </c>
      <c r="G164">
        <v>2</v>
      </c>
      <c r="H164">
        <v>324.84</v>
      </c>
      <c r="I164">
        <v>649.68</v>
      </c>
      <c r="J164" t="s">
        <v>450</v>
      </c>
    </row>
    <row r="165" spans="1:10">
      <c r="A165">
        <v>1252</v>
      </c>
      <c r="B165" t="s">
        <v>516</v>
      </c>
      <c r="C165" t="s">
        <v>438</v>
      </c>
      <c r="D165" t="s">
        <v>47</v>
      </c>
      <c r="E165" t="s">
        <v>11</v>
      </c>
      <c r="F165" t="s">
        <v>45</v>
      </c>
      <c r="G165">
        <v>5</v>
      </c>
      <c r="H165">
        <v>3114.66</v>
      </c>
      <c r="I165">
        <v>15573.3</v>
      </c>
      <c r="J165" t="s">
        <v>453</v>
      </c>
    </row>
    <row r="166" spans="1:10">
      <c r="A166">
        <v>1253</v>
      </c>
      <c r="B166" t="s">
        <v>517</v>
      </c>
      <c r="C166" t="s">
        <v>15</v>
      </c>
      <c r="D166" t="s">
        <v>439</v>
      </c>
      <c r="E166" t="s">
        <v>48</v>
      </c>
      <c r="F166" t="s">
        <v>18</v>
      </c>
      <c r="G166">
        <v>5</v>
      </c>
      <c r="H166">
        <v>1860.73</v>
      </c>
      <c r="I166">
        <v>9303.65</v>
      </c>
      <c r="J166" t="s">
        <v>442</v>
      </c>
    </row>
    <row r="167" spans="1:10">
      <c r="A167">
        <v>1254</v>
      </c>
      <c r="B167" t="s">
        <v>518</v>
      </c>
      <c r="C167" t="s">
        <v>15</v>
      </c>
      <c r="D167" t="s">
        <v>16</v>
      </c>
      <c r="E167" t="s">
        <v>74</v>
      </c>
      <c r="F167" t="s">
        <v>24</v>
      </c>
      <c r="G167">
        <v>3</v>
      </c>
      <c r="H167">
        <v>1360.12</v>
      </c>
      <c r="I167">
        <v>4080.36</v>
      </c>
      <c r="J167" t="s">
        <v>440</v>
      </c>
    </row>
    <row r="168" spans="1:10">
      <c r="A168">
        <v>1255</v>
      </c>
      <c r="B168" t="s">
        <v>279</v>
      </c>
      <c r="C168" t="s">
        <v>438</v>
      </c>
      <c r="D168" t="s">
        <v>439</v>
      </c>
      <c r="E168" t="s">
        <v>53</v>
      </c>
      <c r="F168" t="s">
        <v>12</v>
      </c>
      <c r="G168">
        <v>3</v>
      </c>
      <c r="H168">
        <v>2044.05</v>
      </c>
      <c r="I168">
        <v>6132.15</v>
      </c>
      <c r="J168" t="s">
        <v>436</v>
      </c>
    </row>
    <row r="169" spans="1:10">
      <c r="A169">
        <v>1256</v>
      </c>
      <c r="B169" t="s">
        <v>183</v>
      </c>
      <c r="C169" t="s">
        <v>15</v>
      </c>
      <c r="D169" t="s">
        <v>99</v>
      </c>
      <c r="E169" t="s">
        <v>51</v>
      </c>
      <c r="F169" t="s">
        <v>54</v>
      </c>
      <c r="G169">
        <v>5</v>
      </c>
      <c r="H169">
        <v>500.07</v>
      </c>
      <c r="I169">
        <v>2500.35</v>
      </c>
      <c r="J169" t="s">
        <v>442</v>
      </c>
    </row>
    <row r="170" spans="1:10">
      <c r="A170">
        <v>1257</v>
      </c>
      <c r="B170" t="s">
        <v>477</v>
      </c>
      <c r="C170" t="s">
        <v>38</v>
      </c>
      <c r="D170" t="s">
        <v>50</v>
      </c>
      <c r="E170" t="s">
        <v>108</v>
      </c>
      <c r="F170" t="s">
        <v>24</v>
      </c>
      <c r="G170">
        <v>5</v>
      </c>
      <c r="H170">
        <v>1999.19</v>
      </c>
      <c r="I170">
        <v>9995.95</v>
      </c>
      <c r="J170" t="s">
        <v>441</v>
      </c>
    </row>
    <row r="171" spans="1:10">
      <c r="A171">
        <v>1258</v>
      </c>
      <c r="B171" t="s">
        <v>418</v>
      </c>
      <c r="C171" t="s">
        <v>15</v>
      </c>
      <c r="D171" t="s">
        <v>99</v>
      </c>
      <c r="E171" t="s">
        <v>104</v>
      </c>
      <c r="F171" t="s">
        <v>24</v>
      </c>
      <c r="G171">
        <v>3</v>
      </c>
      <c r="H171">
        <v>768.94</v>
      </c>
      <c r="I171">
        <v>2306.82</v>
      </c>
      <c r="J171" t="s">
        <v>436</v>
      </c>
    </row>
    <row r="172" spans="1:10">
      <c r="A172">
        <v>1260</v>
      </c>
      <c r="B172" t="s">
        <v>117</v>
      </c>
      <c r="C172" t="s">
        <v>38</v>
      </c>
      <c r="D172" t="s">
        <v>439</v>
      </c>
      <c r="E172" t="s">
        <v>118</v>
      </c>
      <c r="F172" t="s">
        <v>18</v>
      </c>
      <c r="G172">
        <v>4</v>
      </c>
      <c r="H172">
        <v>1401.4</v>
      </c>
      <c r="I172">
        <v>5605.6</v>
      </c>
      <c r="J172" t="s">
        <v>445</v>
      </c>
    </row>
    <row r="173" spans="1:10">
      <c r="A173">
        <v>1261</v>
      </c>
      <c r="B173" t="s">
        <v>443</v>
      </c>
      <c r="C173" t="s">
        <v>15</v>
      </c>
      <c r="D173" t="s">
        <v>439</v>
      </c>
      <c r="E173" t="s">
        <v>97</v>
      </c>
      <c r="F173" t="s">
        <v>18</v>
      </c>
      <c r="G173">
        <v>3</v>
      </c>
      <c r="H173">
        <v>904.93</v>
      </c>
      <c r="I173">
        <v>2714.79</v>
      </c>
      <c r="J173" t="s">
        <v>440</v>
      </c>
    </row>
    <row r="174" spans="1:10">
      <c r="A174">
        <v>1262</v>
      </c>
      <c r="B174" t="s">
        <v>319</v>
      </c>
      <c r="C174" t="s">
        <v>434</v>
      </c>
      <c r="D174" t="s">
        <v>47</v>
      </c>
      <c r="E174" t="s">
        <v>11</v>
      </c>
      <c r="F174" t="s">
        <v>18</v>
      </c>
      <c r="G174">
        <v>5</v>
      </c>
      <c r="H174">
        <v>3121.22</v>
      </c>
      <c r="I174">
        <v>15606.1</v>
      </c>
      <c r="J174" t="s">
        <v>440</v>
      </c>
    </row>
    <row r="175" spans="1:10">
      <c r="A175">
        <v>1263</v>
      </c>
      <c r="B175" t="s">
        <v>152</v>
      </c>
      <c r="C175" t="s">
        <v>38</v>
      </c>
      <c r="D175" t="s">
        <v>435</v>
      </c>
      <c r="E175" t="s">
        <v>108</v>
      </c>
      <c r="F175" t="s">
        <v>54</v>
      </c>
      <c r="G175">
        <v>5</v>
      </c>
      <c r="H175">
        <v>2143.98</v>
      </c>
      <c r="I175">
        <v>10719.9</v>
      </c>
      <c r="J175" t="s">
        <v>441</v>
      </c>
    </row>
    <row r="176" spans="1:10">
      <c r="A176">
        <v>1265</v>
      </c>
      <c r="B176" t="s">
        <v>279</v>
      </c>
      <c r="C176" t="s">
        <v>38</v>
      </c>
      <c r="D176" t="s">
        <v>99</v>
      </c>
      <c r="E176" t="s">
        <v>161</v>
      </c>
      <c r="F176" t="s">
        <v>12</v>
      </c>
      <c r="G176">
        <v>2</v>
      </c>
      <c r="H176">
        <v>486.36</v>
      </c>
      <c r="I176">
        <v>972.72</v>
      </c>
      <c r="J176" t="s">
        <v>436</v>
      </c>
    </row>
    <row r="177" spans="1:10">
      <c r="A177">
        <v>1267</v>
      </c>
      <c r="B177" t="s">
        <v>254</v>
      </c>
      <c r="C177" t="s">
        <v>434</v>
      </c>
      <c r="D177" t="s">
        <v>435</v>
      </c>
      <c r="E177" t="s">
        <v>97</v>
      </c>
      <c r="F177" t="s">
        <v>12</v>
      </c>
      <c r="G177">
        <v>5</v>
      </c>
      <c r="H177">
        <v>1365.17</v>
      </c>
      <c r="I177">
        <v>6825.85</v>
      </c>
      <c r="J177" t="s">
        <v>453</v>
      </c>
    </row>
    <row r="178" spans="1:10">
      <c r="A178">
        <v>1269</v>
      </c>
      <c r="B178" t="s">
        <v>511</v>
      </c>
      <c r="C178" t="s">
        <v>38</v>
      </c>
      <c r="D178" t="s">
        <v>439</v>
      </c>
      <c r="E178" t="s">
        <v>144</v>
      </c>
      <c r="F178" t="s">
        <v>18</v>
      </c>
      <c r="G178">
        <v>5</v>
      </c>
      <c r="H178">
        <v>285.54</v>
      </c>
      <c r="I178">
        <v>1427.7</v>
      </c>
      <c r="J178" t="s">
        <v>450</v>
      </c>
    </row>
    <row r="179" spans="1:10">
      <c r="A179">
        <v>1274</v>
      </c>
      <c r="B179" t="s">
        <v>404</v>
      </c>
      <c r="C179" t="s">
        <v>434</v>
      </c>
      <c r="D179" t="s">
        <v>16</v>
      </c>
      <c r="E179" t="s">
        <v>129</v>
      </c>
      <c r="F179" t="s">
        <v>24</v>
      </c>
      <c r="G179">
        <v>2</v>
      </c>
      <c r="H179">
        <v>545.18</v>
      </c>
      <c r="I179">
        <v>1090.36</v>
      </c>
      <c r="J179" t="s">
        <v>444</v>
      </c>
    </row>
    <row r="180" spans="1:10">
      <c r="A180">
        <v>1275</v>
      </c>
      <c r="B180" t="s">
        <v>20</v>
      </c>
      <c r="C180" t="s">
        <v>15</v>
      </c>
      <c r="D180" t="s">
        <v>435</v>
      </c>
      <c r="E180" t="s">
        <v>242</v>
      </c>
      <c r="F180" t="s">
        <v>24</v>
      </c>
      <c r="G180">
        <v>2</v>
      </c>
      <c r="H180">
        <v>2847.58</v>
      </c>
      <c r="I180">
        <v>5695.16</v>
      </c>
      <c r="J180" t="s">
        <v>444</v>
      </c>
    </row>
    <row r="181" spans="1:10">
      <c r="A181">
        <v>1276</v>
      </c>
      <c r="B181" t="s">
        <v>353</v>
      </c>
      <c r="C181" t="s">
        <v>15</v>
      </c>
      <c r="D181" t="s">
        <v>50</v>
      </c>
      <c r="E181" t="s">
        <v>198</v>
      </c>
      <c r="F181" t="s">
        <v>54</v>
      </c>
      <c r="G181">
        <v>2</v>
      </c>
      <c r="H181">
        <v>1002.12</v>
      </c>
      <c r="I181">
        <v>2004.24</v>
      </c>
      <c r="J181" t="s">
        <v>453</v>
      </c>
    </row>
    <row r="182" spans="1:10">
      <c r="A182">
        <v>1277</v>
      </c>
      <c r="B182" t="s">
        <v>519</v>
      </c>
      <c r="C182" t="s">
        <v>438</v>
      </c>
      <c r="D182" t="s">
        <v>22</v>
      </c>
      <c r="E182" t="s">
        <v>136</v>
      </c>
      <c r="F182" t="s">
        <v>54</v>
      </c>
      <c r="G182">
        <v>2</v>
      </c>
      <c r="H182">
        <v>2187.77</v>
      </c>
      <c r="I182">
        <v>4375.54</v>
      </c>
      <c r="J182" t="s">
        <v>440</v>
      </c>
    </row>
    <row r="183" spans="1:10">
      <c r="A183">
        <v>1279</v>
      </c>
      <c r="B183" t="s">
        <v>437</v>
      </c>
      <c r="C183" t="s">
        <v>38</v>
      </c>
      <c r="D183" t="s">
        <v>439</v>
      </c>
      <c r="E183" t="s">
        <v>113</v>
      </c>
      <c r="F183" t="s">
        <v>54</v>
      </c>
      <c r="G183">
        <v>5</v>
      </c>
      <c r="H183">
        <v>306.55</v>
      </c>
      <c r="I183">
        <v>1532.75</v>
      </c>
      <c r="J183" t="s">
        <v>440</v>
      </c>
    </row>
    <row r="184" spans="1:10">
      <c r="A184">
        <v>1280</v>
      </c>
      <c r="B184" t="s">
        <v>87</v>
      </c>
      <c r="C184" t="s">
        <v>438</v>
      </c>
      <c r="D184" t="s">
        <v>99</v>
      </c>
      <c r="E184" t="s">
        <v>125</v>
      </c>
      <c r="F184" t="s">
        <v>18</v>
      </c>
      <c r="G184">
        <v>3</v>
      </c>
      <c r="H184">
        <v>1919.79</v>
      </c>
      <c r="I184">
        <v>5759.37</v>
      </c>
      <c r="J184" t="s">
        <v>453</v>
      </c>
    </row>
    <row r="185" spans="1:10">
      <c r="A185">
        <v>1281</v>
      </c>
      <c r="B185" t="s">
        <v>164</v>
      </c>
      <c r="C185" t="s">
        <v>434</v>
      </c>
      <c r="D185" t="s">
        <v>99</v>
      </c>
      <c r="E185" t="s">
        <v>106</v>
      </c>
      <c r="F185" t="s">
        <v>24</v>
      </c>
      <c r="G185">
        <v>3</v>
      </c>
      <c r="H185">
        <v>292.8</v>
      </c>
      <c r="I185">
        <v>878.4</v>
      </c>
      <c r="J185" t="s">
        <v>436</v>
      </c>
    </row>
    <row r="186" spans="1:10">
      <c r="A186">
        <v>1282</v>
      </c>
      <c r="B186" t="s">
        <v>399</v>
      </c>
      <c r="C186" t="s">
        <v>38</v>
      </c>
      <c r="D186" t="s">
        <v>47</v>
      </c>
      <c r="E186" t="s">
        <v>147</v>
      </c>
      <c r="F186" t="s">
        <v>54</v>
      </c>
      <c r="G186">
        <v>4</v>
      </c>
      <c r="H186">
        <v>914.67</v>
      </c>
      <c r="I186">
        <v>3658.68</v>
      </c>
      <c r="J186" t="s">
        <v>441</v>
      </c>
    </row>
    <row r="187" spans="1:10">
      <c r="A187">
        <v>1283</v>
      </c>
      <c r="B187" t="s">
        <v>317</v>
      </c>
      <c r="C187" t="s">
        <v>434</v>
      </c>
      <c r="D187" t="s">
        <v>47</v>
      </c>
      <c r="E187" t="s">
        <v>248</v>
      </c>
      <c r="F187" t="s">
        <v>54</v>
      </c>
      <c r="G187">
        <v>3</v>
      </c>
      <c r="H187">
        <v>1851.94</v>
      </c>
      <c r="I187">
        <v>5555.82</v>
      </c>
      <c r="J187" t="s">
        <v>440</v>
      </c>
    </row>
    <row r="188" spans="1:10">
      <c r="A188">
        <v>1284</v>
      </c>
      <c r="B188" t="s">
        <v>520</v>
      </c>
      <c r="C188" t="s">
        <v>38</v>
      </c>
      <c r="D188" t="s">
        <v>22</v>
      </c>
      <c r="E188" t="s">
        <v>84</v>
      </c>
      <c r="F188" t="s">
        <v>12</v>
      </c>
      <c r="G188">
        <v>3</v>
      </c>
      <c r="H188">
        <v>1053.64</v>
      </c>
      <c r="I188">
        <v>3160.92</v>
      </c>
      <c r="J188" t="s">
        <v>436</v>
      </c>
    </row>
    <row r="189" spans="1:10">
      <c r="A189">
        <v>1286</v>
      </c>
      <c r="B189" t="s">
        <v>521</v>
      </c>
      <c r="C189" t="s">
        <v>438</v>
      </c>
      <c r="D189" t="s">
        <v>99</v>
      </c>
      <c r="E189" t="s">
        <v>129</v>
      </c>
      <c r="F189" t="s">
        <v>54</v>
      </c>
      <c r="G189">
        <v>3</v>
      </c>
      <c r="H189">
        <v>2772.97</v>
      </c>
      <c r="I189">
        <v>8318.91</v>
      </c>
      <c r="J189" t="s">
        <v>442</v>
      </c>
    </row>
    <row r="190" spans="1:10">
      <c r="A190">
        <v>1287</v>
      </c>
      <c r="B190" t="s">
        <v>319</v>
      </c>
      <c r="C190" t="s">
        <v>15</v>
      </c>
      <c r="D190" t="s">
        <v>435</v>
      </c>
      <c r="E190" t="s">
        <v>80</v>
      </c>
      <c r="F190" t="s">
        <v>24</v>
      </c>
      <c r="G190">
        <v>2</v>
      </c>
      <c r="H190">
        <v>504.33</v>
      </c>
      <c r="I190">
        <v>1008.66</v>
      </c>
      <c r="J190" t="s">
        <v>440</v>
      </c>
    </row>
    <row r="191" spans="1:10">
      <c r="A191">
        <v>1288</v>
      </c>
      <c r="B191" t="s">
        <v>110</v>
      </c>
      <c r="C191" t="s">
        <v>438</v>
      </c>
      <c r="D191" t="s">
        <v>16</v>
      </c>
      <c r="E191" t="s">
        <v>200</v>
      </c>
      <c r="F191" t="s">
        <v>30</v>
      </c>
      <c r="G191">
        <v>4</v>
      </c>
      <c r="H191">
        <v>1955.72</v>
      </c>
      <c r="I191">
        <v>7822.88</v>
      </c>
      <c r="J191" t="s">
        <v>445</v>
      </c>
    </row>
    <row r="192" spans="1:10">
      <c r="A192">
        <v>1291</v>
      </c>
      <c r="B192" t="s">
        <v>522</v>
      </c>
      <c r="C192" t="s">
        <v>38</v>
      </c>
      <c r="D192" t="s">
        <v>99</v>
      </c>
      <c r="E192" t="s">
        <v>100</v>
      </c>
      <c r="F192" t="s">
        <v>18</v>
      </c>
      <c r="G192">
        <v>1</v>
      </c>
      <c r="H192">
        <v>325.83</v>
      </c>
      <c r="I192">
        <v>325.83</v>
      </c>
      <c r="J192" t="s">
        <v>442</v>
      </c>
    </row>
    <row r="193" spans="1:10">
      <c r="A193">
        <v>1294</v>
      </c>
      <c r="B193" t="s">
        <v>523</v>
      </c>
      <c r="C193" t="s">
        <v>438</v>
      </c>
      <c r="D193" t="s">
        <v>99</v>
      </c>
      <c r="E193" t="s">
        <v>161</v>
      </c>
      <c r="F193" t="s">
        <v>54</v>
      </c>
      <c r="G193">
        <v>3</v>
      </c>
      <c r="H193">
        <v>296.21</v>
      </c>
      <c r="I193">
        <v>888.63</v>
      </c>
      <c r="J193" t="s">
        <v>440</v>
      </c>
    </row>
    <row r="194" spans="1:10">
      <c r="A194">
        <v>1295</v>
      </c>
      <c r="B194" t="s">
        <v>268</v>
      </c>
      <c r="C194" t="s">
        <v>434</v>
      </c>
      <c r="D194" t="s">
        <v>47</v>
      </c>
      <c r="E194" t="s">
        <v>29</v>
      </c>
      <c r="F194" t="s">
        <v>24</v>
      </c>
      <c r="G194">
        <v>1</v>
      </c>
      <c r="H194">
        <v>498.64</v>
      </c>
      <c r="I194">
        <v>498.64</v>
      </c>
      <c r="J194" t="s">
        <v>453</v>
      </c>
    </row>
    <row r="195" spans="1:10">
      <c r="A195">
        <v>1296</v>
      </c>
      <c r="B195" t="s">
        <v>524</v>
      </c>
      <c r="C195" t="s">
        <v>38</v>
      </c>
      <c r="D195" t="s">
        <v>435</v>
      </c>
      <c r="E195" t="s">
        <v>78</v>
      </c>
      <c r="F195" t="s">
        <v>12</v>
      </c>
      <c r="G195">
        <v>2</v>
      </c>
      <c r="H195">
        <v>3238.86</v>
      </c>
      <c r="I195">
        <v>6477.72</v>
      </c>
      <c r="J195" t="s">
        <v>444</v>
      </c>
    </row>
    <row r="196" spans="1:10">
      <c r="A196">
        <v>1297</v>
      </c>
      <c r="B196" t="s">
        <v>525</v>
      </c>
      <c r="C196" t="s">
        <v>434</v>
      </c>
      <c r="D196" t="s">
        <v>47</v>
      </c>
      <c r="E196" t="s">
        <v>230</v>
      </c>
      <c r="F196" t="s">
        <v>24</v>
      </c>
      <c r="G196">
        <v>2</v>
      </c>
      <c r="H196">
        <v>990.05</v>
      </c>
      <c r="I196">
        <v>1980.1</v>
      </c>
      <c r="J196" t="s">
        <v>450</v>
      </c>
    </row>
    <row r="197" spans="1:10">
      <c r="A197">
        <v>1299</v>
      </c>
      <c r="B197" t="s">
        <v>143</v>
      </c>
      <c r="C197" t="s">
        <v>438</v>
      </c>
      <c r="D197" t="s">
        <v>99</v>
      </c>
      <c r="E197" t="s">
        <v>141</v>
      </c>
      <c r="F197" t="s">
        <v>12</v>
      </c>
      <c r="G197">
        <v>3</v>
      </c>
      <c r="H197">
        <v>466.96</v>
      </c>
      <c r="I197">
        <v>1400.88</v>
      </c>
      <c r="J197" t="s">
        <v>445</v>
      </c>
    </row>
    <row r="198" spans="1:10">
      <c r="A198">
        <v>1300</v>
      </c>
      <c r="B198" t="s">
        <v>437</v>
      </c>
      <c r="C198" t="s">
        <v>38</v>
      </c>
      <c r="D198" t="s">
        <v>435</v>
      </c>
      <c r="E198" t="s">
        <v>63</v>
      </c>
      <c r="F198" t="s">
        <v>24</v>
      </c>
      <c r="G198">
        <v>2</v>
      </c>
      <c r="H198">
        <v>851.09</v>
      </c>
      <c r="I198">
        <v>1702.18</v>
      </c>
      <c r="J198" t="s">
        <v>440</v>
      </c>
    </row>
    <row r="199" spans="1:10">
      <c r="A199">
        <v>1301</v>
      </c>
      <c r="B199" t="s">
        <v>303</v>
      </c>
      <c r="C199" t="s">
        <v>438</v>
      </c>
      <c r="D199" t="s">
        <v>16</v>
      </c>
      <c r="E199" t="s">
        <v>72</v>
      </c>
      <c r="F199" t="s">
        <v>45</v>
      </c>
      <c r="G199">
        <v>2</v>
      </c>
      <c r="H199">
        <v>1072.13</v>
      </c>
      <c r="I199">
        <v>2144.26</v>
      </c>
      <c r="J199" t="s">
        <v>445</v>
      </c>
    </row>
    <row r="200" spans="1:10">
      <c r="A200">
        <v>1303</v>
      </c>
      <c r="B200" t="s">
        <v>504</v>
      </c>
      <c r="C200" t="s">
        <v>438</v>
      </c>
      <c r="D200" t="s">
        <v>435</v>
      </c>
      <c r="E200" t="s">
        <v>51</v>
      </c>
      <c r="F200" t="s">
        <v>45</v>
      </c>
      <c r="G200">
        <v>1</v>
      </c>
      <c r="H200">
        <v>503.15</v>
      </c>
      <c r="I200">
        <v>503.15</v>
      </c>
      <c r="J200" t="s">
        <v>450</v>
      </c>
    </row>
    <row r="201" spans="1:10">
      <c r="A201">
        <v>1304</v>
      </c>
      <c r="B201" t="s">
        <v>146</v>
      </c>
      <c r="C201" t="s">
        <v>434</v>
      </c>
      <c r="D201" t="s">
        <v>439</v>
      </c>
      <c r="E201" t="s">
        <v>256</v>
      </c>
      <c r="F201" t="s">
        <v>24</v>
      </c>
      <c r="G201">
        <v>5</v>
      </c>
      <c r="H201">
        <v>281.37</v>
      </c>
      <c r="I201">
        <v>1406.85</v>
      </c>
      <c r="J201" t="s">
        <v>445</v>
      </c>
    </row>
    <row r="202" spans="1:10">
      <c r="A202">
        <v>1306</v>
      </c>
      <c r="B202" t="s">
        <v>279</v>
      </c>
      <c r="C202" t="s">
        <v>15</v>
      </c>
      <c r="D202" t="s">
        <v>439</v>
      </c>
      <c r="E202" t="s">
        <v>44</v>
      </c>
      <c r="F202" t="s">
        <v>45</v>
      </c>
      <c r="G202">
        <v>2</v>
      </c>
      <c r="H202">
        <v>1519.33</v>
      </c>
      <c r="I202">
        <v>3038.66</v>
      </c>
      <c r="J202" t="s">
        <v>436</v>
      </c>
    </row>
    <row r="203" spans="1:10">
      <c r="A203">
        <v>1307</v>
      </c>
      <c r="B203" t="s">
        <v>257</v>
      </c>
      <c r="C203" t="s">
        <v>434</v>
      </c>
      <c r="D203" t="s">
        <v>22</v>
      </c>
      <c r="E203" t="s">
        <v>194</v>
      </c>
      <c r="F203" t="s">
        <v>45</v>
      </c>
      <c r="G203">
        <v>2</v>
      </c>
      <c r="H203">
        <v>791.45</v>
      </c>
      <c r="I203">
        <v>1582.9</v>
      </c>
      <c r="J203" t="s">
        <v>444</v>
      </c>
    </row>
    <row r="204" spans="1:10">
      <c r="A204">
        <v>1309</v>
      </c>
      <c r="B204" t="s">
        <v>500</v>
      </c>
      <c r="C204" t="s">
        <v>434</v>
      </c>
      <c r="D204" t="s">
        <v>50</v>
      </c>
      <c r="E204" t="s">
        <v>100</v>
      </c>
      <c r="F204" t="s">
        <v>54</v>
      </c>
      <c r="G204">
        <v>2</v>
      </c>
      <c r="H204">
        <v>529.7</v>
      </c>
      <c r="I204">
        <v>1059.4</v>
      </c>
      <c r="J204" t="s">
        <v>441</v>
      </c>
    </row>
    <row r="205" spans="1:10">
      <c r="A205">
        <v>1312</v>
      </c>
      <c r="B205" t="s">
        <v>270</v>
      </c>
      <c r="C205" t="s">
        <v>434</v>
      </c>
      <c r="D205" t="s">
        <v>435</v>
      </c>
      <c r="E205" t="s">
        <v>29</v>
      </c>
      <c r="F205" t="s">
        <v>18</v>
      </c>
      <c r="G205">
        <v>3</v>
      </c>
      <c r="H205">
        <v>828.77</v>
      </c>
      <c r="I205">
        <v>2486.31</v>
      </c>
      <c r="J205" t="s">
        <v>441</v>
      </c>
    </row>
    <row r="206" spans="1:10">
      <c r="A206">
        <v>1314</v>
      </c>
      <c r="B206" t="s">
        <v>339</v>
      </c>
      <c r="C206" t="s">
        <v>434</v>
      </c>
      <c r="D206" t="s">
        <v>50</v>
      </c>
      <c r="E206" t="s">
        <v>82</v>
      </c>
      <c r="F206" t="s">
        <v>18</v>
      </c>
      <c r="G206">
        <v>5</v>
      </c>
      <c r="H206">
        <v>1063.27</v>
      </c>
      <c r="I206">
        <v>5316.35</v>
      </c>
      <c r="J206" t="s">
        <v>455</v>
      </c>
    </row>
    <row r="207" spans="1:10">
      <c r="A207">
        <v>1315</v>
      </c>
      <c r="B207" t="s">
        <v>519</v>
      </c>
      <c r="C207" t="s">
        <v>38</v>
      </c>
      <c r="D207" t="s">
        <v>435</v>
      </c>
      <c r="E207" t="s">
        <v>102</v>
      </c>
      <c r="F207" t="s">
        <v>18</v>
      </c>
      <c r="G207">
        <v>5</v>
      </c>
      <c r="H207">
        <v>790.37</v>
      </c>
      <c r="I207">
        <v>3951.85</v>
      </c>
      <c r="J207" t="s">
        <v>440</v>
      </c>
    </row>
    <row r="208" spans="1:10">
      <c r="A208">
        <v>1317</v>
      </c>
      <c r="B208" t="s">
        <v>489</v>
      </c>
      <c r="C208" t="s">
        <v>434</v>
      </c>
      <c r="D208" t="s">
        <v>50</v>
      </c>
      <c r="E208" t="s">
        <v>69</v>
      </c>
      <c r="F208" t="s">
        <v>24</v>
      </c>
      <c r="G208">
        <v>2</v>
      </c>
      <c r="H208">
        <v>1007.89</v>
      </c>
      <c r="I208">
        <v>2015.78</v>
      </c>
      <c r="J208" t="s">
        <v>450</v>
      </c>
    </row>
    <row r="209" spans="1:10">
      <c r="A209">
        <v>1318</v>
      </c>
      <c r="B209" t="s">
        <v>414</v>
      </c>
      <c r="C209" t="s">
        <v>15</v>
      </c>
      <c r="D209" t="s">
        <v>22</v>
      </c>
      <c r="E209" t="s">
        <v>97</v>
      </c>
      <c r="F209" t="s">
        <v>54</v>
      </c>
      <c r="G209">
        <v>2</v>
      </c>
      <c r="H209">
        <v>1414.76</v>
      </c>
      <c r="I209">
        <v>2829.52</v>
      </c>
      <c r="J209" t="s">
        <v>450</v>
      </c>
    </row>
    <row r="210" spans="1:10">
      <c r="A210">
        <v>1319</v>
      </c>
      <c r="B210" t="s">
        <v>526</v>
      </c>
      <c r="C210" t="s">
        <v>38</v>
      </c>
      <c r="D210" t="s">
        <v>439</v>
      </c>
      <c r="E210" t="s">
        <v>86</v>
      </c>
      <c r="F210" t="s">
        <v>18</v>
      </c>
      <c r="G210">
        <v>2</v>
      </c>
      <c r="H210">
        <v>514.66</v>
      </c>
      <c r="I210">
        <v>1029.32</v>
      </c>
      <c r="J210" t="s">
        <v>445</v>
      </c>
    </row>
    <row r="211" spans="1:10">
      <c r="A211">
        <v>1320</v>
      </c>
      <c r="B211" t="s">
        <v>527</v>
      </c>
      <c r="C211" t="s">
        <v>15</v>
      </c>
      <c r="D211" t="s">
        <v>22</v>
      </c>
      <c r="E211" t="s">
        <v>194</v>
      </c>
      <c r="F211" t="s">
        <v>18</v>
      </c>
      <c r="G211">
        <v>3</v>
      </c>
      <c r="H211">
        <v>508.23</v>
      </c>
      <c r="I211">
        <v>1524.69</v>
      </c>
      <c r="J211" t="s">
        <v>445</v>
      </c>
    </row>
    <row r="212" spans="1:10">
      <c r="A212">
        <v>1322</v>
      </c>
      <c r="B212" t="s">
        <v>528</v>
      </c>
      <c r="C212" t="s">
        <v>438</v>
      </c>
      <c r="D212" t="s">
        <v>99</v>
      </c>
      <c r="E212" t="s">
        <v>248</v>
      </c>
      <c r="F212" t="s">
        <v>30</v>
      </c>
      <c r="G212">
        <v>4</v>
      </c>
      <c r="H212">
        <v>2777.37</v>
      </c>
      <c r="I212">
        <v>11109.48</v>
      </c>
      <c r="J212" t="s">
        <v>441</v>
      </c>
    </row>
    <row r="213" spans="1:10">
      <c r="A213">
        <v>1323</v>
      </c>
      <c r="B213" t="s">
        <v>529</v>
      </c>
      <c r="C213" t="s">
        <v>434</v>
      </c>
      <c r="D213" t="s">
        <v>435</v>
      </c>
      <c r="E213" t="s">
        <v>136</v>
      </c>
      <c r="F213" t="s">
        <v>24</v>
      </c>
      <c r="G213">
        <v>3</v>
      </c>
      <c r="H213">
        <v>2765.63</v>
      </c>
      <c r="I213">
        <v>8296.89</v>
      </c>
      <c r="J213" t="s">
        <v>455</v>
      </c>
    </row>
    <row r="214" spans="1:10">
      <c r="A214">
        <v>1324</v>
      </c>
      <c r="B214" t="s">
        <v>296</v>
      </c>
      <c r="C214" t="s">
        <v>15</v>
      </c>
      <c r="D214" t="s">
        <v>439</v>
      </c>
      <c r="E214" t="s">
        <v>147</v>
      </c>
      <c r="F214" t="s">
        <v>12</v>
      </c>
      <c r="G214">
        <v>5</v>
      </c>
      <c r="H214">
        <v>740.9</v>
      </c>
      <c r="I214">
        <v>3704.5</v>
      </c>
      <c r="J214" t="s">
        <v>436</v>
      </c>
    </row>
    <row r="215" spans="1:10">
      <c r="A215">
        <v>1326</v>
      </c>
      <c r="B215" t="s">
        <v>96</v>
      </c>
      <c r="C215" t="s">
        <v>434</v>
      </c>
      <c r="D215" t="s">
        <v>435</v>
      </c>
      <c r="E215" t="s">
        <v>97</v>
      </c>
      <c r="F215" t="s">
        <v>24</v>
      </c>
      <c r="G215">
        <v>1</v>
      </c>
      <c r="H215">
        <v>2178.39</v>
      </c>
      <c r="I215">
        <v>2178.39</v>
      </c>
      <c r="J215" t="s">
        <v>442</v>
      </c>
    </row>
    <row r="216" spans="1:10">
      <c r="A216">
        <v>1328</v>
      </c>
      <c r="B216" t="s">
        <v>257</v>
      </c>
      <c r="C216" t="s">
        <v>38</v>
      </c>
      <c r="D216" t="s">
        <v>435</v>
      </c>
      <c r="E216" t="s">
        <v>232</v>
      </c>
      <c r="F216" t="s">
        <v>54</v>
      </c>
      <c r="G216">
        <v>2</v>
      </c>
      <c r="H216">
        <v>901.38</v>
      </c>
      <c r="I216">
        <v>1802.76</v>
      </c>
      <c r="J216" t="s">
        <v>444</v>
      </c>
    </row>
    <row r="217" spans="1:10">
      <c r="A217">
        <v>1329</v>
      </c>
      <c r="B217" t="s">
        <v>145</v>
      </c>
      <c r="C217" t="s">
        <v>38</v>
      </c>
      <c r="D217" t="s">
        <v>47</v>
      </c>
      <c r="E217" t="s">
        <v>51</v>
      </c>
      <c r="F217" t="s">
        <v>54</v>
      </c>
      <c r="G217">
        <v>3</v>
      </c>
      <c r="H217">
        <v>1045.47</v>
      </c>
      <c r="I217">
        <v>3136.41</v>
      </c>
      <c r="J217" t="s">
        <v>455</v>
      </c>
    </row>
    <row r="218" spans="1:10">
      <c r="A218">
        <v>1331</v>
      </c>
      <c r="B218" t="s">
        <v>530</v>
      </c>
      <c r="C218" t="s">
        <v>38</v>
      </c>
      <c r="D218" t="s">
        <v>99</v>
      </c>
      <c r="E218" t="s">
        <v>91</v>
      </c>
      <c r="F218" t="s">
        <v>54</v>
      </c>
      <c r="G218">
        <v>2</v>
      </c>
      <c r="H218">
        <v>871.18</v>
      </c>
      <c r="I218">
        <v>1742.36</v>
      </c>
      <c r="J218" t="s">
        <v>453</v>
      </c>
    </row>
    <row r="219" spans="1:10">
      <c r="A219">
        <v>1332</v>
      </c>
      <c r="B219" t="s">
        <v>531</v>
      </c>
      <c r="C219" t="s">
        <v>38</v>
      </c>
      <c r="D219" t="s">
        <v>16</v>
      </c>
      <c r="E219" t="s">
        <v>129</v>
      </c>
      <c r="F219" t="s">
        <v>54</v>
      </c>
      <c r="G219">
        <v>2</v>
      </c>
      <c r="H219">
        <v>1644.49</v>
      </c>
      <c r="I219">
        <v>3288.98</v>
      </c>
      <c r="J219" t="s">
        <v>442</v>
      </c>
    </row>
    <row r="220" spans="1:10">
      <c r="A220">
        <v>1333</v>
      </c>
      <c r="B220" t="s">
        <v>462</v>
      </c>
      <c r="C220" t="s">
        <v>15</v>
      </c>
      <c r="D220" t="s">
        <v>435</v>
      </c>
      <c r="E220" t="s">
        <v>82</v>
      </c>
      <c r="F220" t="s">
        <v>54</v>
      </c>
      <c r="G220">
        <v>2</v>
      </c>
      <c r="H220">
        <v>546.34</v>
      </c>
      <c r="I220">
        <v>1092.68</v>
      </c>
      <c r="J220" t="s">
        <v>440</v>
      </c>
    </row>
    <row r="221" spans="1:10">
      <c r="A221">
        <v>1334</v>
      </c>
      <c r="B221" t="s">
        <v>227</v>
      </c>
      <c r="C221" t="s">
        <v>434</v>
      </c>
      <c r="D221" t="s">
        <v>435</v>
      </c>
      <c r="E221" t="s">
        <v>147</v>
      </c>
      <c r="F221" t="s">
        <v>54</v>
      </c>
      <c r="G221">
        <v>3</v>
      </c>
      <c r="H221">
        <v>1513.89</v>
      </c>
      <c r="I221">
        <v>4541.67</v>
      </c>
      <c r="J221" t="s">
        <v>444</v>
      </c>
    </row>
    <row r="222" spans="1:10">
      <c r="A222">
        <v>1338</v>
      </c>
      <c r="B222" t="s">
        <v>532</v>
      </c>
      <c r="C222" t="s">
        <v>15</v>
      </c>
      <c r="D222" t="s">
        <v>47</v>
      </c>
      <c r="E222" t="s">
        <v>53</v>
      </c>
      <c r="F222" t="s">
        <v>54</v>
      </c>
      <c r="G222">
        <v>2</v>
      </c>
      <c r="H222">
        <v>1936.55</v>
      </c>
      <c r="I222">
        <v>3873.1</v>
      </c>
      <c r="J222" t="s">
        <v>444</v>
      </c>
    </row>
    <row r="223" spans="1:10">
      <c r="A223">
        <v>1341</v>
      </c>
      <c r="B223" t="s">
        <v>533</v>
      </c>
      <c r="C223" t="s">
        <v>15</v>
      </c>
      <c r="D223" t="s">
        <v>439</v>
      </c>
      <c r="E223" t="s">
        <v>100</v>
      </c>
      <c r="F223" t="s">
        <v>12</v>
      </c>
      <c r="G223">
        <v>2</v>
      </c>
      <c r="H223">
        <v>292.31</v>
      </c>
      <c r="I223">
        <v>584.62</v>
      </c>
      <c r="J223" t="s">
        <v>440</v>
      </c>
    </row>
    <row r="224" spans="1:10">
      <c r="A224">
        <v>1343</v>
      </c>
      <c r="B224" t="s">
        <v>471</v>
      </c>
      <c r="C224" t="s">
        <v>38</v>
      </c>
      <c r="D224" t="s">
        <v>22</v>
      </c>
      <c r="E224" t="s">
        <v>187</v>
      </c>
      <c r="F224" t="s">
        <v>30</v>
      </c>
      <c r="G224">
        <v>2</v>
      </c>
      <c r="H224">
        <v>951.87</v>
      </c>
      <c r="I224">
        <v>1903.74</v>
      </c>
      <c r="J224" t="s">
        <v>436</v>
      </c>
    </row>
    <row r="225" spans="1:10">
      <c r="A225">
        <v>1345</v>
      </c>
      <c r="B225" t="s">
        <v>339</v>
      </c>
      <c r="C225" t="s">
        <v>434</v>
      </c>
      <c r="D225" t="s">
        <v>47</v>
      </c>
      <c r="E225" t="s">
        <v>141</v>
      </c>
      <c r="F225" t="s">
        <v>12</v>
      </c>
      <c r="G225">
        <v>2</v>
      </c>
      <c r="H225">
        <v>289.3</v>
      </c>
      <c r="I225">
        <v>578.6</v>
      </c>
      <c r="J225" t="s">
        <v>455</v>
      </c>
    </row>
    <row r="226" spans="1:10">
      <c r="A226">
        <v>1348</v>
      </c>
      <c r="B226" t="s">
        <v>534</v>
      </c>
      <c r="C226" t="s">
        <v>434</v>
      </c>
      <c r="D226" t="s">
        <v>47</v>
      </c>
      <c r="E226" t="s">
        <v>74</v>
      </c>
      <c r="F226" t="s">
        <v>45</v>
      </c>
      <c r="G226">
        <v>5</v>
      </c>
      <c r="H226">
        <v>3209.71</v>
      </c>
      <c r="I226">
        <v>16048.55</v>
      </c>
      <c r="J226" t="s">
        <v>453</v>
      </c>
    </row>
    <row r="227" spans="1:10">
      <c r="A227">
        <v>1349</v>
      </c>
      <c r="B227" t="s">
        <v>535</v>
      </c>
      <c r="C227" t="s">
        <v>434</v>
      </c>
      <c r="D227" t="s">
        <v>435</v>
      </c>
      <c r="E227" t="s">
        <v>72</v>
      </c>
      <c r="F227" t="s">
        <v>45</v>
      </c>
      <c r="G227">
        <v>1</v>
      </c>
      <c r="H227">
        <v>831.7</v>
      </c>
      <c r="I227">
        <v>831.7</v>
      </c>
      <c r="J227" t="s">
        <v>441</v>
      </c>
    </row>
    <row r="228" spans="1:10">
      <c r="A228">
        <v>1350</v>
      </c>
      <c r="B228" t="s">
        <v>536</v>
      </c>
      <c r="C228" t="s">
        <v>38</v>
      </c>
      <c r="D228" t="s">
        <v>439</v>
      </c>
      <c r="E228" t="s">
        <v>144</v>
      </c>
      <c r="F228" t="s">
        <v>18</v>
      </c>
      <c r="G228">
        <v>2</v>
      </c>
      <c r="H228">
        <v>1017.79</v>
      </c>
      <c r="I228">
        <v>2035.58</v>
      </c>
      <c r="J228" t="s">
        <v>450</v>
      </c>
    </row>
    <row r="229" spans="1:10">
      <c r="A229">
        <v>1352</v>
      </c>
      <c r="B229" t="s">
        <v>501</v>
      </c>
      <c r="C229" t="s">
        <v>438</v>
      </c>
      <c r="D229" t="s">
        <v>439</v>
      </c>
      <c r="E229" t="s">
        <v>11</v>
      </c>
      <c r="F229" t="s">
        <v>12</v>
      </c>
      <c r="G229">
        <v>3</v>
      </c>
      <c r="H229">
        <v>1355.11</v>
      </c>
      <c r="I229">
        <v>4065.33</v>
      </c>
      <c r="J229" t="s">
        <v>441</v>
      </c>
    </row>
    <row r="230" spans="1:10">
      <c r="A230">
        <v>1353</v>
      </c>
      <c r="B230" t="s">
        <v>537</v>
      </c>
      <c r="C230" t="s">
        <v>15</v>
      </c>
      <c r="D230" t="s">
        <v>439</v>
      </c>
      <c r="E230" t="s">
        <v>97</v>
      </c>
      <c r="F230" t="s">
        <v>30</v>
      </c>
      <c r="G230">
        <v>1</v>
      </c>
      <c r="H230">
        <v>474.29</v>
      </c>
      <c r="I230">
        <v>474.29</v>
      </c>
      <c r="J230" t="s">
        <v>444</v>
      </c>
    </row>
    <row r="231" spans="1:10">
      <c r="A231">
        <v>1354</v>
      </c>
      <c r="B231" t="s">
        <v>538</v>
      </c>
      <c r="C231" t="s">
        <v>15</v>
      </c>
      <c r="D231" t="s">
        <v>22</v>
      </c>
      <c r="E231" t="s">
        <v>108</v>
      </c>
      <c r="F231" t="s">
        <v>12</v>
      </c>
      <c r="G231">
        <v>4</v>
      </c>
      <c r="H231">
        <v>959.47</v>
      </c>
      <c r="I231">
        <v>3837.88</v>
      </c>
      <c r="J231" t="s">
        <v>444</v>
      </c>
    </row>
    <row r="232" spans="1:10">
      <c r="A232">
        <v>1356</v>
      </c>
      <c r="B232" t="s">
        <v>20</v>
      </c>
      <c r="C232" t="s">
        <v>434</v>
      </c>
      <c r="D232" t="s">
        <v>22</v>
      </c>
      <c r="E232" t="s">
        <v>23</v>
      </c>
      <c r="F232" t="s">
        <v>24</v>
      </c>
      <c r="G232">
        <v>5</v>
      </c>
      <c r="H232">
        <v>464.06</v>
      </c>
      <c r="I232">
        <v>2320.3</v>
      </c>
      <c r="J232" t="s">
        <v>444</v>
      </c>
    </row>
    <row r="233" spans="1:10">
      <c r="A233">
        <v>1359</v>
      </c>
      <c r="B233" t="s">
        <v>111</v>
      </c>
      <c r="C233" t="s">
        <v>15</v>
      </c>
      <c r="D233" t="s">
        <v>439</v>
      </c>
      <c r="E233" t="s">
        <v>84</v>
      </c>
      <c r="F233" t="s">
        <v>30</v>
      </c>
      <c r="G233">
        <v>3</v>
      </c>
      <c r="H233">
        <v>734.7</v>
      </c>
      <c r="I233">
        <v>2204.1</v>
      </c>
      <c r="J233" t="s">
        <v>450</v>
      </c>
    </row>
    <row r="234" spans="1:10">
      <c r="A234">
        <v>1360</v>
      </c>
      <c r="B234" t="s">
        <v>284</v>
      </c>
      <c r="C234" t="s">
        <v>38</v>
      </c>
      <c r="D234" t="s">
        <v>435</v>
      </c>
      <c r="E234" t="s">
        <v>158</v>
      </c>
      <c r="F234" t="s">
        <v>18</v>
      </c>
      <c r="G234">
        <v>5</v>
      </c>
      <c r="H234">
        <v>1056.56</v>
      </c>
      <c r="I234">
        <v>5282.8</v>
      </c>
      <c r="J234" t="s">
        <v>441</v>
      </c>
    </row>
    <row r="235" spans="1:10">
      <c r="A235">
        <v>1362</v>
      </c>
      <c r="B235" t="s">
        <v>499</v>
      </c>
      <c r="C235" t="s">
        <v>15</v>
      </c>
      <c r="D235" t="s">
        <v>16</v>
      </c>
      <c r="E235" t="s">
        <v>48</v>
      </c>
      <c r="F235" t="s">
        <v>45</v>
      </c>
      <c r="G235">
        <v>1</v>
      </c>
      <c r="H235">
        <v>3211.47</v>
      </c>
      <c r="I235">
        <v>3211.47</v>
      </c>
      <c r="J235" t="s">
        <v>450</v>
      </c>
    </row>
    <row r="236" spans="1:10">
      <c r="A236">
        <v>1363</v>
      </c>
      <c r="B236" t="s">
        <v>517</v>
      </c>
      <c r="C236" t="s">
        <v>15</v>
      </c>
      <c r="D236" t="s">
        <v>22</v>
      </c>
      <c r="E236" t="s">
        <v>187</v>
      </c>
      <c r="F236" t="s">
        <v>24</v>
      </c>
      <c r="G236">
        <v>3</v>
      </c>
      <c r="H236">
        <v>2747.57</v>
      </c>
      <c r="I236">
        <v>8242.71</v>
      </c>
      <c r="J236" t="s">
        <v>442</v>
      </c>
    </row>
    <row r="237" spans="1:10">
      <c r="A237">
        <v>1364</v>
      </c>
      <c r="B237" t="s">
        <v>539</v>
      </c>
      <c r="C237" t="s">
        <v>434</v>
      </c>
      <c r="D237" t="s">
        <v>50</v>
      </c>
      <c r="E237" t="s">
        <v>80</v>
      </c>
      <c r="F237" t="s">
        <v>18</v>
      </c>
      <c r="G237">
        <v>3</v>
      </c>
      <c r="H237">
        <v>1578.29</v>
      </c>
      <c r="I237">
        <v>4734.87</v>
      </c>
      <c r="J237" t="s">
        <v>479</v>
      </c>
    </row>
    <row r="238" spans="1:10">
      <c r="A238">
        <v>1366</v>
      </c>
      <c r="B238" t="s">
        <v>505</v>
      </c>
      <c r="C238" t="s">
        <v>38</v>
      </c>
      <c r="D238" t="s">
        <v>16</v>
      </c>
      <c r="E238" t="s">
        <v>93</v>
      </c>
      <c r="F238" t="s">
        <v>54</v>
      </c>
      <c r="G238">
        <v>1</v>
      </c>
      <c r="H238">
        <v>2092.39</v>
      </c>
      <c r="I238">
        <v>2092.39</v>
      </c>
      <c r="J238" t="s">
        <v>506</v>
      </c>
    </row>
    <row r="239" spans="1:10">
      <c r="A239">
        <v>1369</v>
      </c>
      <c r="B239" t="s">
        <v>184</v>
      </c>
      <c r="C239" t="s">
        <v>438</v>
      </c>
      <c r="D239" t="s">
        <v>435</v>
      </c>
      <c r="E239" t="s">
        <v>58</v>
      </c>
      <c r="F239" t="s">
        <v>18</v>
      </c>
      <c r="G239">
        <v>4</v>
      </c>
      <c r="H239">
        <v>1807.86</v>
      </c>
      <c r="I239">
        <v>7231.44</v>
      </c>
      <c r="J239" t="s">
        <v>442</v>
      </c>
    </row>
    <row r="240" spans="1:10">
      <c r="A240">
        <v>1370</v>
      </c>
      <c r="B240" t="s">
        <v>486</v>
      </c>
      <c r="C240" t="s">
        <v>434</v>
      </c>
      <c r="D240" t="s">
        <v>16</v>
      </c>
      <c r="E240" t="s">
        <v>120</v>
      </c>
      <c r="F240" t="s">
        <v>54</v>
      </c>
      <c r="G240">
        <v>5</v>
      </c>
      <c r="H240">
        <v>308.69</v>
      </c>
      <c r="I240">
        <v>1543.45</v>
      </c>
      <c r="J240" t="s">
        <v>445</v>
      </c>
    </row>
    <row r="241" spans="1:10">
      <c r="A241">
        <v>1371</v>
      </c>
      <c r="B241" t="s">
        <v>540</v>
      </c>
      <c r="C241" t="s">
        <v>438</v>
      </c>
      <c r="D241" t="s">
        <v>50</v>
      </c>
      <c r="E241" t="s">
        <v>104</v>
      </c>
      <c r="F241" t="s">
        <v>30</v>
      </c>
      <c r="G241">
        <v>5</v>
      </c>
      <c r="H241">
        <v>1039.33</v>
      </c>
      <c r="I241">
        <v>5196.65</v>
      </c>
      <c r="J241" t="s">
        <v>445</v>
      </c>
    </row>
    <row r="242" spans="1:10">
      <c r="A242">
        <v>1376</v>
      </c>
      <c r="B242" t="s">
        <v>247</v>
      </c>
      <c r="C242" t="s">
        <v>434</v>
      </c>
      <c r="D242" t="s">
        <v>439</v>
      </c>
      <c r="E242" t="s">
        <v>86</v>
      </c>
      <c r="F242" t="s">
        <v>45</v>
      </c>
      <c r="G242">
        <v>5</v>
      </c>
      <c r="H242">
        <v>793.29</v>
      </c>
      <c r="I242">
        <v>3966.45</v>
      </c>
      <c r="J242" t="s">
        <v>440</v>
      </c>
    </row>
    <row r="243" spans="1:10">
      <c r="A243">
        <v>1377</v>
      </c>
      <c r="B243" t="s">
        <v>134</v>
      </c>
      <c r="C243" t="s">
        <v>38</v>
      </c>
      <c r="D243" t="s">
        <v>439</v>
      </c>
      <c r="E243" t="s">
        <v>88</v>
      </c>
      <c r="F243" t="s">
        <v>45</v>
      </c>
      <c r="G243">
        <v>5</v>
      </c>
      <c r="H243">
        <v>320</v>
      </c>
      <c r="I243">
        <v>1600</v>
      </c>
      <c r="J243" t="s">
        <v>445</v>
      </c>
    </row>
    <row r="244" spans="1:10">
      <c r="A244">
        <v>1379</v>
      </c>
      <c r="B244" t="s">
        <v>284</v>
      </c>
      <c r="C244" t="s">
        <v>452</v>
      </c>
      <c r="D244" t="s">
        <v>50</v>
      </c>
      <c r="E244" t="s">
        <v>108</v>
      </c>
      <c r="F244" t="s">
        <v>12</v>
      </c>
      <c r="G244">
        <v>3</v>
      </c>
      <c r="H244">
        <v>2139.2</v>
      </c>
      <c r="I244">
        <v>6417.6</v>
      </c>
      <c r="J244" t="s">
        <v>441</v>
      </c>
    </row>
    <row r="245" spans="1:10">
      <c r="A245">
        <v>1380</v>
      </c>
      <c r="B245" t="s">
        <v>254</v>
      </c>
      <c r="C245" t="s">
        <v>15</v>
      </c>
      <c r="D245" t="s">
        <v>47</v>
      </c>
      <c r="E245" t="s">
        <v>58</v>
      </c>
      <c r="F245" t="s">
        <v>54</v>
      </c>
      <c r="G245">
        <v>3</v>
      </c>
      <c r="H245">
        <v>293.98</v>
      </c>
      <c r="I245">
        <v>881.94</v>
      </c>
      <c r="J245" t="s">
        <v>453</v>
      </c>
    </row>
    <row r="246" spans="1:10">
      <c r="A246">
        <v>1381</v>
      </c>
      <c r="B246" t="s">
        <v>541</v>
      </c>
      <c r="C246" t="s">
        <v>15</v>
      </c>
      <c r="D246" t="s">
        <v>22</v>
      </c>
      <c r="E246" t="s">
        <v>120</v>
      </c>
      <c r="F246" t="s">
        <v>54</v>
      </c>
      <c r="G246">
        <v>3</v>
      </c>
      <c r="H246">
        <v>1083</v>
      </c>
      <c r="I246">
        <v>3249</v>
      </c>
      <c r="J246" t="s">
        <v>440</v>
      </c>
    </row>
    <row r="247" spans="1:10">
      <c r="A247">
        <v>1385</v>
      </c>
      <c r="B247" t="s">
        <v>339</v>
      </c>
      <c r="C247" t="s">
        <v>434</v>
      </c>
      <c r="D247" t="s">
        <v>16</v>
      </c>
      <c r="E247" t="s">
        <v>86</v>
      </c>
      <c r="F247" t="s">
        <v>30</v>
      </c>
      <c r="G247">
        <v>3</v>
      </c>
      <c r="H247">
        <v>1062.36</v>
      </c>
      <c r="I247">
        <v>3187.08</v>
      </c>
      <c r="J247" t="s">
        <v>455</v>
      </c>
    </row>
    <row r="248" spans="1:10">
      <c r="A248">
        <v>1388</v>
      </c>
      <c r="B248" t="s">
        <v>233</v>
      </c>
      <c r="C248" t="s">
        <v>438</v>
      </c>
      <c r="D248" t="s">
        <v>47</v>
      </c>
      <c r="E248" t="s">
        <v>53</v>
      </c>
      <c r="F248" t="s">
        <v>12</v>
      </c>
      <c r="G248">
        <v>5</v>
      </c>
      <c r="H248">
        <v>274.93</v>
      </c>
      <c r="I248">
        <v>1374.65</v>
      </c>
      <c r="J248" t="s">
        <v>440</v>
      </c>
    </row>
    <row r="249" spans="1:10">
      <c r="A249">
        <v>1389</v>
      </c>
      <c r="B249" t="s">
        <v>309</v>
      </c>
      <c r="C249" t="s">
        <v>38</v>
      </c>
      <c r="D249" t="s">
        <v>47</v>
      </c>
      <c r="E249" t="s">
        <v>147</v>
      </c>
      <c r="F249" t="s">
        <v>54</v>
      </c>
      <c r="G249">
        <v>3</v>
      </c>
      <c r="H249">
        <v>927.16</v>
      </c>
      <c r="I249">
        <v>2781.48</v>
      </c>
      <c r="J249" t="s">
        <v>442</v>
      </c>
    </row>
    <row r="250" spans="1:10">
      <c r="A250">
        <v>1390</v>
      </c>
      <c r="B250" t="s">
        <v>280</v>
      </c>
      <c r="C250" t="s">
        <v>438</v>
      </c>
      <c r="D250" t="s">
        <v>435</v>
      </c>
      <c r="E250" t="s">
        <v>104</v>
      </c>
      <c r="F250" t="s">
        <v>45</v>
      </c>
      <c r="G250">
        <v>4</v>
      </c>
      <c r="H250">
        <v>1063.85</v>
      </c>
      <c r="I250">
        <v>4255.4</v>
      </c>
      <c r="J250" t="s">
        <v>436</v>
      </c>
    </row>
    <row r="251" spans="1:10">
      <c r="A251">
        <v>1393</v>
      </c>
      <c r="B251" t="s">
        <v>542</v>
      </c>
      <c r="C251" t="s">
        <v>15</v>
      </c>
      <c r="D251" t="s">
        <v>439</v>
      </c>
      <c r="E251" t="s">
        <v>102</v>
      </c>
      <c r="F251" t="s">
        <v>24</v>
      </c>
      <c r="G251">
        <v>4</v>
      </c>
      <c r="H251">
        <v>782.68</v>
      </c>
      <c r="I251">
        <v>3130.72</v>
      </c>
      <c r="J251" t="s">
        <v>455</v>
      </c>
    </row>
    <row r="252" spans="1:10">
      <c r="A252">
        <v>1395</v>
      </c>
      <c r="B252" t="s">
        <v>480</v>
      </c>
      <c r="C252" t="s">
        <v>438</v>
      </c>
      <c r="D252" t="s">
        <v>439</v>
      </c>
      <c r="E252" t="s">
        <v>17</v>
      </c>
      <c r="F252" t="s">
        <v>12</v>
      </c>
      <c r="G252">
        <v>2</v>
      </c>
      <c r="H252">
        <v>1852.14</v>
      </c>
      <c r="I252">
        <v>3704.28</v>
      </c>
      <c r="J252" t="s">
        <v>441</v>
      </c>
    </row>
    <row r="253" spans="1:10">
      <c r="A253">
        <v>1397</v>
      </c>
      <c r="B253" t="s">
        <v>543</v>
      </c>
      <c r="C253" t="s">
        <v>434</v>
      </c>
      <c r="D253" t="s">
        <v>16</v>
      </c>
      <c r="E253" t="s">
        <v>147</v>
      </c>
      <c r="F253" t="s">
        <v>54</v>
      </c>
      <c r="G253">
        <v>3</v>
      </c>
      <c r="H253">
        <v>454.4</v>
      </c>
      <c r="I253">
        <v>1363.2</v>
      </c>
      <c r="J253" t="s">
        <v>444</v>
      </c>
    </row>
    <row r="254" spans="1:10">
      <c r="A254">
        <v>1399</v>
      </c>
      <c r="B254" t="s">
        <v>520</v>
      </c>
      <c r="C254" t="s">
        <v>15</v>
      </c>
      <c r="D254" t="s">
        <v>435</v>
      </c>
      <c r="E254" t="s">
        <v>74</v>
      </c>
      <c r="F254" t="s">
        <v>24</v>
      </c>
      <c r="G254">
        <v>5</v>
      </c>
      <c r="H254">
        <v>2064.76</v>
      </c>
      <c r="I254">
        <v>10323.8</v>
      </c>
      <c r="J254" t="s">
        <v>436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8.67619047619048" defaultRowHeight="15" outlineLevelRow="6" outlineLevelCol="4"/>
  <cols>
    <col min="1" max="1" width="20" customWidth="1"/>
    <col min="2" max="5" width="16" customWidth="1"/>
  </cols>
  <sheetData>
    <row r="1" spans="1:5">
      <c r="A1" s="1" t="s">
        <v>2</v>
      </c>
      <c r="B1" s="1" t="s">
        <v>544</v>
      </c>
      <c r="C1" s="1" t="s">
        <v>545</v>
      </c>
      <c r="D1" s="1" t="s">
        <v>546</v>
      </c>
      <c r="E1" s="1" t="s">
        <v>547</v>
      </c>
    </row>
    <row r="2" spans="1:5">
      <c r="A2" s="2" t="s">
        <v>15</v>
      </c>
      <c r="B2" s="3">
        <f>SUMIFS('Cleaned Data'!$I$2:$I$254,'Cleaned Data'!$C$2:$C$254,$A2)</f>
        <v>200270.53</v>
      </c>
      <c r="C2" s="2">
        <f>SUMIFS('Cleaned Data'!$G$2:$G$254,'Cleaned Data'!$C$2:$C$254,$A2)</f>
        <v>173</v>
      </c>
      <c r="D2" s="2">
        <f>COUNTIFS('Cleaned Data'!$C$2:$C$254,$A2)</f>
        <v>63</v>
      </c>
      <c r="E2" s="3">
        <f t="shared" ref="E2:E7" si="0">IFERROR(B2/D2,0)</f>
        <v>3178.8973015873</v>
      </c>
    </row>
    <row r="3" spans="1:5">
      <c r="A3" s="2" t="s">
        <v>434</v>
      </c>
      <c r="B3" s="3">
        <f>SUMIFS('Cleaned Data'!$I$2:$I$254,'Cleaned Data'!$C$2:$C$254,$A3)</f>
        <v>254210.33</v>
      </c>
      <c r="C3" s="2">
        <f>SUMIFS('Cleaned Data'!$G$2:$G$254,'Cleaned Data'!$C$2:$C$254,$A3)</f>
        <v>196</v>
      </c>
      <c r="D3" s="2">
        <f>COUNTIFS('Cleaned Data'!$C$2:$C$254,$A3)</f>
        <v>66</v>
      </c>
      <c r="E3" s="3">
        <f t="shared" si="0"/>
        <v>3851.67166666667</v>
      </c>
    </row>
    <row r="4" spans="1:5">
      <c r="A4" s="2" t="s">
        <v>38</v>
      </c>
      <c r="B4" s="3">
        <f>SUMIFS('Cleaned Data'!$I$2:$I$254,'Cleaned Data'!$C$2:$C$254,$A4)</f>
        <v>231473.43</v>
      </c>
      <c r="C4" s="2">
        <f>SUMIFS('Cleaned Data'!$G$2:$G$254,'Cleaned Data'!$C$2:$C$254,$A4)</f>
        <v>192</v>
      </c>
      <c r="D4" s="2">
        <f>COUNTIFS('Cleaned Data'!$C$2:$C$254,$A4)</f>
        <v>62</v>
      </c>
      <c r="E4" s="3">
        <f t="shared" si="0"/>
        <v>3733.44241935484</v>
      </c>
    </row>
    <row r="5" spans="1:5">
      <c r="A5" s="2" t="s">
        <v>452</v>
      </c>
      <c r="B5" s="3">
        <f>SUMIFS('Cleaned Data'!$I$2:$I$254,'Cleaned Data'!$C$2:$C$254,$A5)</f>
        <v>23417.65</v>
      </c>
      <c r="C5" s="2">
        <f>SUMIFS('Cleaned Data'!$G$2:$G$254,'Cleaned Data'!$C$2:$C$254,$A5)</f>
        <v>17</v>
      </c>
      <c r="D5" s="2">
        <f>COUNTIFS('Cleaned Data'!$C$2:$C$254,$A5)</f>
        <v>7</v>
      </c>
      <c r="E5" s="3">
        <f t="shared" si="0"/>
        <v>3345.37857142857</v>
      </c>
    </row>
    <row r="6" spans="1:5">
      <c r="A6" s="2" t="s">
        <v>438</v>
      </c>
      <c r="B6" s="3">
        <f>SUMIFS('Cleaned Data'!$I$2:$I$254,'Cleaned Data'!$C$2:$C$254,$A6)</f>
        <v>279619.08</v>
      </c>
      <c r="C6" s="2">
        <f>SUMIFS('Cleaned Data'!$G$2:$G$254,'Cleaned Data'!$C$2:$C$254,$A6)</f>
        <v>191</v>
      </c>
      <c r="D6" s="2">
        <f>COUNTIFS('Cleaned Data'!$C$2:$C$254,$A6)</f>
        <v>55</v>
      </c>
      <c r="E6" s="3">
        <f t="shared" si="0"/>
        <v>5083.98327272727</v>
      </c>
    </row>
    <row r="7" spans="1:5">
      <c r="A7" s="4" t="s">
        <v>548</v>
      </c>
      <c r="B7" s="5">
        <f>SUM(B2:B6)</f>
        <v>988991.02</v>
      </c>
      <c r="C7" s="4">
        <f>SUM(C2:C6)</f>
        <v>769</v>
      </c>
      <c r="D7" s="4">
        <f>SUM(D2:D6)</f>
        <v>253</v>
      </c>
      <c r="E7" s="5">
        <f t="shared" si="0"/>
        <v>3909.05541501976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8.67619047619048" defaultRowHeight="15" outlineLevelCol="4"/>
  <cols>
    <col min="1" max="1" width="20" customWidth="1"/>
    <col min="2" max="5" width="16" customWidth="1"/>
  </cols>
  <sheetData>
    <row r="1" spans="1:5">
      <c r="A1" s="1" t="s">
        <v>3</v>
      </c>
      <c r="B1" s="1" t="s">
        <v>544</v>
      </c>
      <c r="C1" s="1" t="s">
        <v>545</v>
      </c>
      <c r="D1" s="1" t="s">
        <v>546</v>
      </c>
      <c r="E1" s="1" t="s">
        <v>547</v>
      </c>
    </row>
    <row r="2" spans="1:5">
      <c r="A2" s="2" t="s">
        <v>50</v>
      </c>
      <c r="B2" s="3">
        <f>SUMIFS('Cleaned Data'!$I$2:$I$254,'Cleaned Data'!$D$2:$D$254,$A2)</f>
        <v>124047.63</v>
      </c>
      <c r="C2" s="2">
        <f>SUMIFS('Cleaned Data'!$G$2:$G$254,'Cleaned Data'!$D$2:$D$254,$A2)</f>
        <v>107</v>
      </c>
      <c r="D2" s="2">
        <f>COUNTIFS('Cleaned Data'!$D$2:$D$254,$A2)</f>
        <v>34</v>
      </c>
      <c r="E2" s="3">
        <f t="shared" ref="E2:E9" si="0">IFERROR(B2/D2,0)</f>
        <v>3648.45970588235</v>
      </c>
    </row>
    <row r="3" spans="1:5">
      <c r="A3" s="2" t="s">
        <v>47</v>
      </c>
      <c r="B3" s="3">
        <f>SUMIFS('Cleaned Data'!$I$2:$I$254,'Cleaned Data'!$D$2:$D$254,$A3)</f>
        <v>110522.55</v>
      </c>
      <c r="C3" s="2">
        <f>SUMIFS('Cleaned Data'!$G$2:$G$254,'Cleaned Data'!$D$2:$D$254,$A3)</f>
        <v>75</v>
      </c>
      <c r="D3" s="2">
        <f>COUNTIFS('Cleaned Data'!$D$2:$D$254,$A3)</f>
        <v>26</v>
      </c>
      <c r="E3" s="3">
        <f t="shared" si="0"/>
        <v>4250.86730769231</v>
      </c>
    </row>
    <row r="4" spans="1:5">
      <c r="A4" s="2" t="s">
        <v>22</v>
      </c>
      <c r="B4" s="3">
        <f>SUMIFS('Cleaned Data'!$I$2:$I$254,'Cleaned Data'!$D$2:$D$254,$A4)</f>
        <v>133954.72</v>
      </c>
      <c r="C4" s="2">
        <f>SUMIFS('Cleaned Data'!$G$2:$G$254,'Cleaned Data'!$D$2:$D$254,$A4)</f>
        <v>114</v>
      </c>
      <c r="D4" s="2">
        <f>COUNTIFS('Cleaned Data'!$D$2:$D$254,$A4)</f>
        <v>37</v>
      </c>
      <c r="E4" s="3">
        <f t="shared" si="0"/>
        <v>3620.39783783784</v>
      </c>
    </row>
    <row r="5" spans="1:5">
      <c r="A5" s="2" t="s">
        <v>16</v>
      </c>
      <c r="B5" s="3">
        <f>SUMIFS('Cleaned Data'!$I$2:$I$254,'Cleaned Data'!$D$2:$D$254,$A5)</f>
        <v>92715.06</v>
      </c>
      <c r="C5" s="2">
        <f>SUMIFS('Cleaned Data'!$G$2:$G$254,'Cleaned Data'!$D$2:$D$254,$A5)</f>
        <v>78</v>
      </c>
      <c r="D5" s="2">
        <f>COUNTIFS('Cleaned Data'!$D$2:$D$254,$A5)</f>
        <v>27</v>
      </c>
      <c r="E5" s="3">
        <f t="shared" si="0"/>
        <v>3433.89111111111</v>
      </c>
    </row>
    <row r="6" spans="1:5">
      <c r="A6" s="2" t="s">
        <v>435</v>
      </c>
      <c r="B6" s="3">
        <f>SUMIFS('Cleaned Data'!$I$2:$I$254,'Cleaned Data'!$D$2:$D$254,$A6)</f>
        <v>178455.94</v>
      </c>
      <c r="C6" s="2">
        <f>SUMIFS('Cleaned Data'!$G$2:$G$254,'Cleaned Data'!$D$2:$D$254,$A6)</f>
        <v>124</v>
      </c>
      <c r="D6" s="2">
        <f>COUNTIFS('Cleaned Data'!$D$2:$D$254,$A6)</f>
        <v>43</v>
      </c>
      <c r="E6" s="3">
        <f t="shared" si="0"/>
        <v>4150.13813953488</v>
      </c>
    </row>
    <row r="7" spans="1:5">
      <c r="A7" s="2" t="s">
        <v>439</v>
      </c>
      <c r="B7" s="3">
        <f>SUMIFS('Cleaned Data'!$I$2:$I$254,'Cleaned Data'!$D$2:$D$254,$A7)</f>
        <v>183762.44</v>
      </c>
      <c r="C7" s="2">
        <f>SUMIFS('Cleaned Data'!$G$2:$G$254,'Cleaned Data'!$D$2:$D$254,$A7)</f>
        <v>157</v>
      </c>
      <c r="D7" s="2">
        <f>COUNTIFS('Cleaned Data'!$D$2:$D$254,$A7)</f>
        <v>51</v>
      </c>
      <c r="E7" s="3">
        <f t="shared" si="0"/>
        <v>3603.18509803922</v>
      </c>
    </row>
    <row r="8" spans="1:5">
      <c r="A8" s="2" t="s">
        <v>99</v>
      </c>
      <c r="B8" s="3">
        <f>SUMIFS('Cleaned Data'!$I$2:$I$254,'Cleaned Data'!$D$2:$D$254,$A8)</f>
        <v>165532.68</v>
      </c>
      <c r="C8" s="2">
        <f>SUMIFS('Cleaned Data'!$G$2:$G$254,'Cleaned Data'!$D$2:$D$254,$A8)</f>
        <v>114</v>
      </c>
      <c r="D8" s="2">
        <f>COUNTIFS('Cleaned Data'!$D$2:$D$254,$A8)</f>
        <v>35</v>
      </c>
      <c r="E8" s="3">
        <f t="shared" si="0"/>
        <v>4729.50514285714</v>
      </c>
    </row>
    <row r="9" spans="1:5">
      <c r="A9" s="4" t="s">
        <v>548</v>
      </c>
      <c r="B9" s="5">
        <f>SUM(B2:B8)</f>
        <v>988991.02</v>
      </c>
      <c r="C9" s="4">
        <f>SUM(C2:C8)</f>
        <v>769</v>
      </c>
      <c r="D9" s="4">
        <f>SUM(D2:D8)</f>
        <v>253</v>
      </c>
      <c r="E9" s="5">
        <f t="shared" si="0"/>
        <v>3909.05541501976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8.67619047619048" defaultRowHeight="15" outlineLevelCol="4"/>
  <cols>
    <col min="1" max="1" width="20" customWidth="1"/>
    <col min="2" max="5" width="16" customWidth="1"/>
  </cols>
  <sheetData>
    <row r="1" spans="1:5">
      <c r="A1" s="1" t="s">
        <v>432</v>
      </c>
      <c r="B1" s="1" t="s">
        <v>544</v>
      </c>
      <c r="C1" s="1" t="s">
        <v>545</v>
      </c>
      <c r="D1" s="1" t="s">
        <v>546</v>
      </c>
      <c r="E1" s="1" t="s">
        <v>547</v>
      </c>
    </row>
    <row r="2" spans="1:5">
      <c r="A2" s="2" t="s">
        <v>445</v>
      </c>
      <c r="B2" s="3">
        <f>SUMIFS('Cleaned Data'!$I$2:$I$254,'Cleaned Data'!$J$2:$J$254,$A2)</f>
        <v>126443.26</v>
      </c>
      <c r="C2" s="2">
        <f>SUMIFS('Cleaned Data'!$G$2:$G$254,'Cleaned Data'!$J$2:$J$254,$A2)</f>
        <v>106</v>
      </c>
      <c r="D2" s="2">
        <f>COUNTIFS('Cleaned Data'!$J$2:$J$254,$A2)</f>
        <v>32</v>
      </c>
      <c r="E2" s="3">
        <f t="shared" ref="E2:E14" si="0">IFERROR(B2/D2,0)</f>
        <v>3951.351875</v>
      </c>
    </row>
    <row r="3" spans="1:5">
      <c r="A3" s="2" t="s">
        <v>436</v>
      </c>
      <c r="B3" s="3">
        <f>SUMIFS('Cleaned Data'!$I$2:$I$254,'Cleaned Data'!$J$2:$J$254,$A3)</f>
        <v>74468.48</v>
      </c>
      <c r="C3" s="2">
        <f>SUMIFS('Cleaned Data'!$G$2:$G$254,'Cleaned Data'!$J$2:$J$254,$A3)</f>
        <v>68</v>
      </c>
      <c r="D3" s="2">
        <f>COUNTIFS('Cleaned Data'!$J$2:$J$254,$A3)</f>
        <v>22</v>
      </c>
      <c r="E3" s="3">
        <f t="shared" si="0"/>
        <v>3384.93090909091</v>
      </c>
    </row>
    <row r="4" spans="1:5">
      <c r="A4" s="2" t="s">
        <v>453</v>
      </c>
      <c r="B4" s="3">
        <f>SUMIFS('Cleaned Data'!$I$2:$I$254,'Cleaned Data'!$J$2:$J$254,$A4)</f>
        <v>117546.8</v>
      </c>
      <c r="C4" s="2">
        <f>SUMIFS('Cleaned Data'!$G$2:$G$254,'Cleaned Data'!$J$2:$J$254,$A4)</f>
        <v>82</v>
      </c>
      <c r="D4" s="2">
        <f>COUNTIFS('Cleaned Data'!$J$2:$J$254,$A4)</f>
        <v>25</v>
      </c>
      <c r="E4" s="3">
        <f t="shared" si="0"/>
        <v>4701.872</v>
      </c>
    </row>
    <row r="5" spans="1:5">
      <c r="A5" s="2" t="s">
        <v>441</v>
      </c>
      <c r="B5" s="3">
        <f>SUMIFS('Cleaned Data'!$I$2:$I$254,'Cleaned Data'!$J$2:$J$254,$A5)</f>
        <v>159138.48</v>
      </c>
      <c r="C5" s="2">
        <f>SUMIFS('Cleaned Data'!$G$2:$G$254,'Cleaned Data'!$J$2:$J$254,$A5)</f>
        <v>106</v>
      </c>
      <c r="D5" s="2">
        <f>COUNTIFS('Cleaned Data'!$J$2:$J$254,$A5)</f>
        <v>32</v>
      </c>
      <c r="E5" s="3">
        <f t="shared" si="0"/>
        <v>4973.0775</v>
      </c>
    </row>
    <row r="6" spans="1:5">
      <c r="A6" s="2" t="s">
        <v>444</v>
      </c>
      <c r="B6" s="3">
        <f>SUMIFS('Cleaned Data'!$I$2:$I$254,'Cleaned Data'!$J$2:$J$254,$A6)</f>
        <v>101656.82</v>
      </c>
      <c r="C6" s="2">
        <f>SUMIFS('Cleaned Data'!$G$2:$G$254,'Cleaned Data'!$J$2:$J$254,$A6)</f>
        <v>84</v>
      </c>
      <c r="D6" s="2">
        <f>COUNTIFS('Cleaned Data'!$J$2:$J$254,$A6)</f>
        <v>32</v>
      </c>
      <c r="E6" s="3">
        <f t="shared" si="0"/>
        <v>3176.775625</v>
      </c>
    </row>
    <row r="7" spans="1:5">
      <c r="A7" s="2" t="s">
        <v>455</v>
      </c>
      <c r="B7" s="3">
        <f>SUMIFS('Cleaned Data'!$I$2:$I$254,'Cleaned Data'!$J$2:$J$254,$A7)</f>
        <v>76278.47</v>
      </c>
      <c r="C7" s="2">
        <f>SUMIFS('Cleaned Data'!$G$2:$G$254,'Cleaned Data'!$J$2:$J$254,$A7)</f>
        <v>55</v>
      </c>
      <c r="D7" s="2">
        <f>COUNTIFS('Cleaned Data'!$J$2:$J$254,$A7)</f>
        <v>17</v>
      </c>
      <c r="E7" s="3">
        <f t="shared" si="0"/>
        <v>4486.96882352941</v>
      </c>
    </row>
    <row r="8" spans="1:5">
      <c r="A8" s="2" t="s">
        <v>442</v>
      </c>
      <c r="B8" s="3">
        <f>SUMIFS('Cleaned Data'!$I$2:$I$254,'Cleaned Data'!$J$2:$J$254,$A8)</f>
        <v>82422.4</v>
      </c>
      <c r="C8" s="2">
        <f>SUMIFS('Cleaned Data'!$G$2:$G$254,'Cleaned Data'!$J$2:$J$254,$A8)</f>
        <v>55</v>
      </c>
      <c r="D8" s="2">
        <f>COUNTIFS('Cleaned Data'!$J$2:$J$254,$A8)</f>
        <v>21</v>
      </c>
      <c r="E8" s="3">
        <f t="shared" si="0"/>
        <v>3924.87619047619</v>
      </c>
    </row>
    <row r="9" spans="1:5">
      <c r="A9" s="2" t="s">
        <v>440</v>
      </c>
      <c r="B9" s="3">
        <f>SUMIFS('Cleaned Data'!$I$2:$I$254,'Cleaned Data'!$J$2:$J$254,$A9)</f>
        <v>121597.81</v>
      </c>
      <c r="C9" s="2">
        <f>SUMIFS('Cleaned Data'!$G$2:$G$254,'Cleaned Data'!$J$2:$J$254,$A9)</f>
        <v>114</v>
      </c>
      <c r="D9" s="2">
        <f>COUNTIFS('Cleaned Data'!$J$2:$J$254,$A9)</f>
        <v>36</v>
      </c>
      <c r="E9" s="3">
        <f t="shared" si="0"/>
        <v>3377.71694444444</v>
      </c>
    </row>
    <row r="10" spans="1:5">
      <c r="A10" s="2" t="s">
        <v>450</v>
      </c>
      <c r="B10" s="3">
        <f>SUMIFS('Cleaned Data'!$I$2:$I$254,'Cleaned Data'!$J$2:$J$254,$A10)</f>
        <v>93588.45</v>
      </c>
      <c r="C10" s="2">
        <f>SUMIFS('Cleaned Data'!$G$2:$G$254,'Cleaned Data'!$J$2:$J$254,$A10)</f>
        <v>76</v>
      </c>
      <c r="D10" s="2">
        <f>COUNTIFS('Cleaned Data'!$J$2:$J$254,$A10)</f>
        <v>27</v>
      </c>
      <c r="E10" s="3">
        <f t="shared" si="0"/>
        <v>3466.23888888889</v>
      </c>
    </row>
    <row r="11" spans="1:5">
      <c r="A11" s="2" t="s">
        <v>479</v>
      </c>
      <c r="B11" s="3">
        <f>SUMIFS('Cleaned Data'!$I$2:$I$254,'Cleaned Data'!$J$2:$J$254,$A11)</f>
        <v>13103.99</v>
      </c>
      <c r="C11" s="2">
        <f>SUMIFS('Cleaned Data'!$G$2:$G$254,'Cleaned Data'!$J$2:$J$254,$A11)</f>
        <v>11</v>
      </c>
      <c r="D11" s="2">
        <f>COUNTIFS('Cleaned Data'!$J$2:$J$254,$A11)</f>
        <v>3</v>
      </c>
      <c r="E11" s="3">
        <f t="shared" si="0"/>
        <v>4367.99666666667</v>
      </c>
    </row>
    <row r="12" spans="1:5">
      <c r="A12" s="2" t="s">
        <v>506</v>
      </c>
      <c r="B12" s="3">
        <f>SUMIFS('Cleaned Data'!$I$2:$I$254,'Cleaned Data'!$J$2:$J$254,$A12)</f>
        <v>14119.83</v>
      </c>
      <c r="C12" s="2">
        <f>SUMIFS('Cleaned Data'!$G$2:$G$254,'Cleaned Data'!$J$2:$J$254,$A12)</f>
        <v>7</v>
      </c>
      <c r="D12" s="2">
        <f>COUNTIFS('Cleaned Data'!$J$2:$J$254,$A12)</f>
        <v>3</v>
      </c>
      <c r="E12" s="3">
        <f t="shared" si="0"/>
        <v>4706.61</v>
      </c>
    </row>
    <row r="13" spans="1:5">
      <c r="A13" s="2" t="s">
        <v>460</v>
      </c>
      <c r="B13" s="3">
        <f>SUMIFS('Cleaned Data'!$I$2:$I$254,'Cleaned Data'!$J$2:$J$254,$A13)</f>
        <v>8626.23</v>
      </c>
      <c r="C13" s="2">
        <f>SUMIFS('Cleaned Data'!$G$2:$G$254,'Cleaned Data'!$J$2:$J$254,$A13)</f>
        <v>5</v>
      </c>
      <c r="D13" s="2">
        <f>COUNTIFS('Cleaned Data'!$J$2:$J$254,$A13)</f>
        <v>3</v>
      </c>
      <c r="E13" s="3">
        <f t="shared" si="0"/>
        <v>2875.41</v>
      </c>
    </row>
    <row r="14" spans="1:5">
      <c r="A14" s="4" t="s">
        <v>548</v>
      </c>
      <c r="B14" s="5">
        <f>SUM(B2:B13)</f>
        <v>988991.02</v>
      </c>
      <c r="C14" s="4">
        <f>SUM(C2:C13)</f>
        <v>769</v>
      </c>
      <c r="D14" s="4">
        <f>SUM(D2:D13)</f>
        <v>253</v>
      </c>
      <c r="E14" s="5">
        <f t="shared" si="0"/>
        <v>3909.05541501976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Pivot - Region</vt:lpstr>
      <vt:lpstr>Pivot - Product</vt:lpstr>
      <vt:lpstr>Pivot -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ssath</cp:lastModifiedBy>
  <cp:revision>1</cp:revision>
  <dcterms:created xsi:type="dcterms:W3CDTF">2026-09-14T14:31:00Z</dcterms:created>
  <dcterms:modified xsi:type="dcterms:W3CDTF">2026-09-14T15:20:32Z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C68B39530277486CB5C69271DA95F88A_12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